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Erik\Documents\PycharmProjects\P2Home\data\input\"/>
    </mc:Choice>
  </mc:AlternateContent>
  <xr:revisionPtr revIDLastSave="0" documentId="13_ncr:1_{8016C549-04B6-4C82-A649-E6FECD464CDC}" xr6:coauthVersionLast="47" xr6:coauthVersionMax="47" xr10:uidLastSave="{00000000-0000-0000-0000-000000000000}"/>
  <bookViews>
    <workbookView xWindow="-120" yWindow="-120" windowWidth="20730" windowHeight="11160" firstSheet="2" activeTab="5" xr2:uid="{61AF8562-6E46-4D5E-8B33-C109B79F9DA5}"/>
  </bookViews>
  <sheets>
    <sheet name="Info" sheetId="12" r:id="rId1"/>
    <sheet name="Location" sheetId="3" r:id="rId2"/>
    <sheet name="Consumption Data" sheetId="2" r:id="rId3"/>
    <sheet name="Building Data" sheetId="1" r:id="rId4"/>
    <sheet name="Technical Component Data" sheetId="8" r:id="rId5"/>
    <sheet name="Economic Data" sheetId="4" r:id="rId6"/>
    <sheet name="Model Settings" sheetId="6" r:id="rId7"/>
    <sheet name="HP Specifications" sheetId="11" r:id="rId8"/>
    <sheet name="Definitions"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 l="1"/>
  <c r="H5" i="3"/>
  <c r="I5" i="3"/>
  <c r="G5" i="3"/>
  <c r="H4" i="3"/>
  <c r="I4" i="3"/>
  <c r="G4" i="3"/>
  <c r="H3" i="3"/>
  <c r="I3" i="3"/>
  <c r="G3" i="3"/>
  <c r="F6" i="1"/>
  <c r="F17" i="1" s="1"/>
  <c r="G58" i="1"/>
  <c r="H58" i="1"/>
  <c r="I58" i="1"/>
  <c r="F58" i="1"/>
  <c r="G51" i="1"/>
  <c r="H51" i="1"/>
  <c r="I51" i="1"/>
  <c r="F51" i="1"/>
  <c r="A16" i="11"/>
  <c r="A15" i="11"/>
  <c r="G2" i="2"/>
  <c r="T2" i="2"/>
  <c r="T3" i="2" s="1"/>
  <c r="G111" i="8"/>
  <c r="H111" i="8"/>
  <c r="I111" i="8"/>
  <c r="F111" i="8"/>
  <c r="G2" i="8"/>
  <c r="H2" i="8"/>
  <c r="I2" i="8"/>
  <c r="G11" i="1"/>
  <c r="H11" i="1"/>
  <c r="I11" i="1"/>
  <c r="G10" i="1" l="1"/>
  <c r="H10" i="1"/>
  <c r="I10" i="1"/>
  <c r="F10" i="1"/>
  <c r="F1" i="6"/>
  <c r="A1" i="6"/>
  <c r="F1" i="4"/>
  <c r="A1" i="4"/>
  <c r="F1" i="8"/>
  <c r="A1" i="8"/>
  <c r="F1" i="1"/>
  <c r="A1" i="1"/>
  <c r="F1" i="2"/>
  <c r="A1" i="2"/>
  <c r="G2" i="6"/>
  <c r="H2" i="6"/>
  <c r="I2" i="6"/>
  <c r="G2" i="4"/>
  <c r="H2" i="4"/>
  <c r="I2" i="4"/>
  <c r="G2" i="1"/>
  <c r="H2" i="1"/>
  <c r="I2" i="1"/>
  <c r="H2" i="2"/>
  <c r="I2" i="2"/>
  <c r="J16" i="11"/>
  <c r="J15" i="11"/>
  <c r="A4" i="11" a="1"/>
  <c r="A4" i="11" s="1"/>
  <c r="A5" i="11" a="1"/>
  <c r="A5" i="11" s="1"/>
  <c r="A6" i="11" a="1"/>
  <c r="A6" i="11" s="1"/>
  <c r="A7" i="11" a="1"/>
  <c r="A7" i="11" s="1"/>
  <c r="A8" i="11" a="1"/>
  <c r="A8" i="11" s="1"/>
  <c r="A9" i="11" a="1"/>
  <c r="A9" i="11" s="1"/>
  <c r="A10" i="11" a="1"/>
  <c r="A10" i="11" s="1"/>
  <c r="A11" i="11" a="1"/>
  <c r="A11" i="11" s="1"/>
  <c r="A12" i="11" a="1"/>
  <c r="A12" i="11" s="1"/>
  <c r="A13" i="11" a="1"/>
  <c r="A13" i="11" s="1"/>
  <c r="A14" i="11" a="1"/>
  <c r="A14" i="11" s="1"/>
  <c r="A3" i="11" a="1"/>
  <c r="A3" i="11" s="1"/>
  <c r="G6" i="1"/>
  <c r="G7" i="1" s="1"/>
  <c r="H6" i="1"/>
  <c r="H7" i="1" s="1"/>
  <c r="I6" i="1"/>
  <c r="I7" i="1" s="1"/>
  <c r="I17" i="1" l="1"/>
  <c r="H17" i="1"/>
  <c r="G17" i="1"/>
  <c r="F7" i="1"/>
  <c r="F2" i="4"/>
  <c r="F2" i="6"/>
  <c r="F2" i="2"/>
  <c r="F2" i="1"/>
  <c r="F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<sst xmlns="http://schemas.openxmlformats.org/spreadsheetml/2006/main" count="1645" uniqueCount="628">
  <si>
    <t xml:space="preserve">name </t>
  </si>
  <si>
    <t>description</t>
  </si>
  <si>
    <t>nr_of_households</t>
  </si>
  <si>
    <t>latitude</t>
  </si>
  <si>
    <t>longitude</t>
  </si>
  <si>
    <t>avg_indoor_temp</t>
  </si>
  <si>
    <t>duration</t>
  </si>
  <si>
    <t>duration of modelling period</t>
  </si>
  <si>
    <t>heated_area</t>
  </si>
  <si>
    <t>floor area of heated rooms</t>
  </si>
  <si>
    <t>heated_volume</t>
  </si>
  <si>
    <t>nr_of_persons</t>
  </si>
  <si>
    <t>electricity consumption</t>
  </si>
  <si>
    <t>general data</t>
  </si>
  <si>
    <t>number of households in building</t>
  </si>
  <si>
    <t>number of persons living in the building in total</t>
  </si>
  <si>
    <t>el_demand</t>
  </si>
  <si>
    <t>hot water demand</t>
  </si>
  <si>
    <t>l_per_person_day</t>
  </si>
  <si>
    <t xml:space="preserve">heating demand </t>
  </si>
  <si>
    <t>indoor temperature averaged over all rooms</t>
  </si>
  <si>
    <t>heat_demand</t>
  </si>
  <si>
    <t>unit</t>
  </si>
  <si>
    <t>kWh</t>
  </si>
  <si>
    <t>l</t>
  </si>
  <si>
    <t>%</t>
  </si>
  <si>
    <t>demand of hot water per person per day</t>
  </si>
  <si>
    <t>total annual electricity consumptions of all households</t>
  </si>
  <si>
    <t>total annual heat consumption of all households  (gas/oil)</t>
  </si>
  <si>
    <t>comment</t>
  </si>
  <si>
    <t>obligatory</t>
  </si>
  <si>
    <t>°C</t>
  </si>
  <si>
    <t>temp_dhw</t>
  </si>
  <si>
    <t>temperature of domestic hot water</t>
  </si>
  <si>
    <t>obilgatory</t>
  </si>
  <si>
    <t>volume of heated rooms</t>
  </si>
  <si>
    <t>m^3</t>
  </si>
  <si>
    <t>building_type</t>
  </si>
  <si>
    <t>multi family home or single family home</t>
  </si>
  <si>
    <t>MFH</t>
  </si>
  <si>
    <t>-</t>
  </si>
  <si>
    <t>MFH or SFH</t>
  </si>
  <si>
    <t>SFH</t>
  </si>
  <si>
    <t>vent_rate</t>
  </si>
  <si>
    <t>ventilation rate</t>
  </si>
  <si>
    <t>vent_rate = heated_volume *  0.76 if SFH / 0.8 if MFH</t>
  </si>
  <si>
    <t>air_change</t>
  </si>
  <si>
    <t>bool</t>
  </si>
  <si>
    <t>air_conditioning</t>
  </si>
  <si>
    <t>heat_recovery_factor</t>
  </si>
  <si>
    <t>is there automated ventilation?</t>
  </si>
  <si>
    <t>fraction of heat that is recovered during ventilation</t>
  </si>
  <si>
    <t>internal_gains</t>
  </si>
  <si>
    <t>energy-effective air change rate</t>
  </si>
  <si>
    <t>internal gains by appliances and persons</t>
  </si>
  <si>
    <t>T_out_ref</t>
  </si>
  <si>
    <t>reference outside temperature for dimensioning heating system</t>
  </si>
  <si>
    <t>https://www.waermepumpe.de/werkzeuge/klimakarte/</t>
  </si>
  <si>
    <t>°</t>
  </si>
  <si>
    <t>latitude of building location</t>
  </si>
  <si>
    <t>logitude of building location °</t>
  </si>
  <si>
    <t>PARAMETERS</t>
  </si>
  <si>
    <t>SCENARIO VALUES</t>
  </si>
  <si>
    <t xml:space="preserve">wall orientation </t>
  </si>
  <si>
    <t>roof orientation</t>
  </si>
  <si>
    <t>wall1_window_g_val</t>
  </si>
  <si>
    <t>m^2</t>
  </si>
  <si>
    <t>0 … 1</t>
  </si>
  <si>
    <t>area of total windows in wall</t>
  </si>
  <si>
    <t>roof1_window_g_val</t>
  </si>
  <si>
    <t>wall2_window_g_val</t>
  </si>
  <si>
    <t>wall3_window_g_val</t>
  </si>
  <si>
    <t>wall4_window_g_val</t>
  </si>
  <si>
    <t>area of total windows in roof</t>
  </si>
  <si>
    <t>g-value of windows (averaged)</t>
  </si>
  <si>
    <t xml:space="preserve">tilt of roof </t>
  </si>
  <si>
    <t>roof2_window_g_val</t>
  </si>
  <si>
    <t>roof3_window_g_val</t>
  </si>
  <si>
    <t>roof4_window_g_val</t>
  </si>
  <si>
    <t>General Data</t>
  </si>
  <si>
    <t>potential area for PV or solarthermal use</t>
  </si>
  <si>
    <t>0° is horizontal, 90° is vertical; for flat roofs (=0°) PV systems will be mounted with 10° E-W</t>
  </si>
  <si>
    <t>pv1_mount_comp</t>
  </si>
  <si>
    <t xml:space="preserve">Area of building where PV system is mounted </t>
  </si>
  <si>
    <t>roof1 ..4, wall1…4</t>
  </si>
  <si>
    <t>roof1</t>
  </si>
  <si>
    <t>roof2</t>
  </si>
  <si>
    <t>roof3</t>
  </si>
  <si>
    <t>roof4</t>
  </si>
  <si>
    <t>wall1</t>
  </si>
  <si>
    <t>wall2</t>
  </si>
  <si>
    <t>wall3</t>
  </si>
  <si>
    <t>wall4</t>
  </si>
  <si>
    <t>building_area_components</t>
  </si>
  <si>
    <t>module efficiency</t>
  </si>
  <si>
    <t>typically 20-25%</t>
  </si>
  <si>
    <t>pv1_lifetime</t>
  </si>
  <si>
    <t>expected lifetime of product</t>
  </si>
  <si>
    <t>a</t>
  </si>
  <si>
    <t>in years</t>
  </si>
  <si>
    <t>pv1_inv_cost</t>
  </si>
  <si>
    <t xml:space="preserve">investment costs </t>
  </si>
  <si>
    <t>€/kWp</t>
  </si>
  <si>
    <t>typically 1200 - 1900 €/kWp</t>
  </si>
  <si>
    <t>maximum installable capacity</t>
  </si>
  <si>
    <t>kWp</t>
  </si>
  <si>
    <t>pv1_fix_cost_one_time</t>
  </si>
  <si>
    <t xml:space="preserve">fix costs at first installation </t>
  </si>
  <si>
    <t>pv1_fix_cost_yearly</t>
  </si>
  <si>
    <t>fix costs every year</t>
  </si>
  <si>
    <t>e.g. costs for meter change, electrical installation</t>
  </si>
  <si>
    <t>e.g. costs for maintenance, cleaning</t>
  </si>
  <si>
    <t>€/a</t>
  </si>
  <si>
    <t>pv2_mount_comp</t>
  </si>
  <si>
    <t>pv2_lifetime</t>
  </si>
  <si>
    <t>pv2_inv_cost</t>
  </si>
  <si>
    <t>pv2_fix_cost_one_time</t>
  </si>
  <si>
    <t>pv2_fix_cost_yearly</t>
  </si>
  <si>
    <t>pv3_mount_comp</t>
  </si>
  <si>
    <t>pv3_lifetime</t>
  </si>
  <si>
    <t>pv3_inv_cost</t>
  </si>
  <si>
    <t>pv3_fix_cost_one_time</t>
  </si>
  <si>
    <t>pv3_fix_cost_yearly</t>
  </si>
  <si>
    <t>pv4_mount_comp</t>
  </si>
  <si>
    <t>pv4_lifetime</t>
  </si>
  <si>
    <t>pv4_inv_cost</t>
  </si>
  <si>
    <t>pv4_fix_cost_one_time</t>
  </si>
  <si>
    <t>pv4_fix_cost_yearly</t>
  </si>
  <si>
    <t>charging efficiency inclusively converter</t>
  </si>
  <si>
    <t>default 95%</t>
  </si>
  <si>
    <t>discharging efficiency inclusively converter</t>
  </si>
  <si>
    <t>storage efficiency (losses considered hourly)</t>
  </si>
  <si>
    <t>default 99.9%</t>
  </si>
  <si>
    <t>typically 10 - 15a</t>
  </si>
  <si>
    <t>maximum number of cycles</t>
  </si>
  <si>
    <t>default 3000</t>
  </si>
  <si>
    <t>maximum c-rate that can be applied</t>
  </si>
  <si>
    <t>default 1</t>
  </si>
  <si>
    <t>maximum capacity that can be installed</t>
  </si>
  <si>
    <t>minimum SOC that is allowed</t>
  </si>
  <si>
    <t>default 20%</t>
  </si>
  <si>
    <t>€/kWh</t>
  </si>
  <si>
    <t>typically around 500 - 1500€/kWh</t>
  </si>
  <si>
    <t>pv1_fix_cost_inv</t>
  </si>
  <si>
    <t>investment costs independent of installed capacity</t>
  </si>
  <si>
    <t>€/invest</t>
  </si>
  <si>
    <t>pv2_fix_cost_inv</t>
  </si>
  <si>
    <t>pv3_fix_cost_inv</t>
  </si>
  <si>
    <t>pv4_fix_cost_inv</t>
  </si>
  <si>
    <t>flat tariff for households</t>
  </si>
  <si>
    <t>el_hh_is_dynamic_tariff</t>
  </si>
  <si>
    <t>ct/kWh</t>
  </si>
  <si>
    <t>el_hh_basic_charge</t>
  </si>
  <si>
    <t>el_hh_kwh_rate</t>
  </si>
  <si>
    <t>€/month</t>
  </si>
  <si>
    <t>el_hp_kwh_rate</t>
  </si>
  <si>
    <t>el_hp_basic_charge</t>
  </si>
  <si>
    <t>el_hp_is_dynamic_tariff</t>
  </si>
  <si>
    <t>basic monthly charge independent of consumption</t>
  </si>
  <si>
    <t>decision variable if flat tariff is applied</t>
  </si>
  <si>
    <t>el_feedin_kwh_rate</t>
  </si>
  <si>
    <t>el_feedin_is_directly_marketed</t>
  </si>
  <si>
    <t>decision variable whether direct marketing condisitons are applied</t>
  </si>
  <si>
    <t>fixed feed-in rate (EEG-Vergütung)</t>
  </si>
  <si>
    <t>if feed-in is directly marketed, feed-in revenues are calculated by EEX-market data</t>
  </si>
  <si>
    <t>flow_temp_ref</t>
  </si>
  <si>
    <t>flow temperature in heating system for reference outside temperature</t>
  </si>
  <si>
    <t>transm_loss</t>
  </si>
  <si>
    <t>transmission losses through building envelope</t>
  </si>
  <si>
    <t>kW/K</t>
  </si>
  <si>
    <t>needs to be given if heat demand is not given</t>
  </si>
  <si>
    <t>delta_temp_max</t>
  </si>
  <si>
    <t>indoor temperature tolerance</t>
  </si>
  <si>
    <t xml:space="preserve">in a smart controlled building thermal inertia can be used as a buffer storage to provide felxibility, leads to losses in thermal comfort. Delta_temp_max = 2 means that builing can be pre-heated by 2°C </t>
  </si>
  <si>
    <t>wall_volume</t>
  </si>
  <si>
    <t>wall_density</t>
  </si>
  <si>
    <t>wall_th_cap</t>
  </si>
  <si>
    <t>volume of walls / other components with thermal capacity</t>
  </si>
  <si>
    <t>avg. thermal capacity of walls</t>
  </si>
  <si>
    <t>avg. density of the walls</t>
  </si>
  <si>
    <t>J/(kg*K)</t>
  </si>
  <si>
    <t>kg/m^3</t>
  </si>
  <si>
    <t>default 800</t>
  </si>
  <si>
    <t>default 1500</t>
  </si>
  <si>
    <t>Windows (to calculate solar gains) and Solar Potential Data</t>
  </si>
  <si>
    <t>Direct Electric Heater</t>
  </si>
  <si>
    <t>Buffer Storage</t>
  </si>
  <si>
    <t>Hot Water Storage</t>
  </si>
  <si>
    <t>Solar Thermal</t>
  </si>
  <si>
    <t>Battery Storage</t>
  </si>
  <si>
    <t>Photovoltaic System</t>
  </si>
  <si>
    <t>st1_mount_comp</t>
  </si>
  <si>
    <t>st1_lifetime</t>
  </si>
  <si>
    <t>st1_inv_cost</t>
  </si>
  <si>
    <t>st1_fix_cost_inv</t>
  </si>
  <si>
    <t>st1_fix_cost_one_time</t>
  </si>
  <si>
    <t>st1_fix_cost_yearly</t>
  </si>
  <si>
    <t>st2_mount_comp</t>
  </si>
  <si>
    <t>st2_lifetime</t>
  </si>
  <si>
    <t>st2_inv_cost</t>
  </si>
  <si>
    <t>st2_fix_cost_inv</t>
  </si>
  <si>
    <t>st2_fix_cost_one_time</t>
  </si>
  <si>
    <t>st2_fix_cost_yearly</t>
  </si>
  <si>
    <t>st3_mount_comp</t>
  </si>
  <si>
    <t>st3_lifetime</t>
  </si>
  <si>
    <t>st3_inv_cost</t>
  </si>
  <si>
    <t>st3_fix_cost_inv</t>
  </si>
  <si>
    <t>st3_fix_cost_one_time</t>
  </si>
  <si>
    <t>st3_fix_cost_yearly</t>
  </si>
  <si>
    <t>st4_mount_comp</t>
  </si>
  <si>
    <t>st4_lifetime</t>
  </si>
  <si>
    <t>st4_inv_cost</t>
  </si>
  <si>
    <t>st4_fix_cost_inv</t>
  </si>
  <si>
    <t>st4_fix_cost_one_time</t>
  </si>
  <si>
    <t>st4_fix_cost_yearly</t>
  </si>
  <si>
    <t>st1_collector_type</t>
  </si>
  <si>
    <t>st2_collector_type</t>
  </si>
  <si>
    <t>st3_collector_type</t>
  </si>
  <si>
    <t>st4_collector_type</t>
  </si>
  <si>
    <t>type of solar thermal collector</t>
  </si>
  <si>
    <t>absorber</t>
  </si>
  <si>
    <t>flatplate_singlecover_nonsel</t>
  </si>
  <si>
    <t>flatplate_singlecover_sel</t>
  </si>
  <si>
    <t>vacuumtube</t>
  </si>
  <si>
    <t>st_collector_types</t>
  </si>
  <si>
    <t>most common: flatplate_singlecover_sel</t>
  </si>
  <si>
    <t>kg CO2 eq. / kWp</t>
  </si>
  <si>
    <t>carbon intensity of life cycle</t>
  </si>
  <si>
    <t>kg CO2 eq. / kWh</t>
  </si>
  <si>
    <t>carbon intensity of life cycle per installed capacity</t>
  </si>
  <si>
    <t>kg CO2 eq. / m^2</t>
  </si>
  <si>
    <t>Boiler</t>
  </si>
  <si>
    <t>hp_type</t>
  </si>
  <si>
    <t>bosch_ClimateClass8000i</t>
  </si>
  <si>
    <t>vitocal_250A</t>
  </si>
  <si>
    <t>hp_types_air_water</t>
  </si>
  <si>
    <t>ac_types</t>
  </si>
  <si>
    <t>Heat Pump (Air-water)</t>
  </si>
  <si>
    <t>typicaly 15 years</t>
  </si>
  <si>
    <t>investment costs for heatpump itself</t>
  </si>
  <si>
    <t>costs for HP-ready retrofit</t>
  </si>
  <si>
    <t>installation costs independent of HP size</t>
  </si>
  <si>
    <t>€</t>
  </si>
  <si>
    <t>product name</t>
  </si>
  <si>
    <t>specifications need to be given</t>
  </si>
  <si>
    <t>Air Conditioning (Air-air Heat pump)</t>
  </si>
  <si>
    <t>kg CO2 eq. / kW</t>
  </si>
  <si>
    <t>efficiency</t>
  </si>
  <si>
    <t>default  0%</t>
  </si>
  <si>
    <t>default 0</t>
  </si>
  <si>
    <t>default 100</t>
  </si>
  <si>
    <t>default 230</t>
  </si>
  <si>
    <t>default 99.5%</t>
  </si>
  <si>
    <t>default 98%</t>
  </si>
  <si>
    <t>default 99.99%</t>
  </si>
  <si>
    <t>€/l</t>
  </si>
  <si>
    <t>variable costs</t>
  </si>
  <si>
    <t>fuel costs need to be given here</t>
  </si>
  <si>
    <t>typically 15 years</t>
  </si>
  <si>
    <t>minimum installation costs for boiler</t>
  </si>
  <si>
    <t>cost increase per kW boiler capacity</t>
  </si>
  <si>
    <t>includes carbon intensity for fuel; 
gas: 0.2 (0.57 @ 2% leakage)
oil: 0.27
wood: 0.0 - 0.37 depending on forestry</t>
  </si>
  <si>
    <t>85% - 100% depending on type</t>
  </si>
  <si>
    <t>apply_timeseries_reduction</t>
  </si>
  <si>
    <t>modeled_year</t>
  </si>
  <si>
    <t>year that is modeled</t>
  </si>
  <si>
    <t>int</t>
  </si>
  <si>
    <t>pv1_co2eq_per_cap</t>
  </si>
  <si>
    <t>pv2_co2eq_per_cap</t>
  </si>
  <si>
    <t>pv3_co2eq_per_cap</t>
  </si>
  <si>
    <t>pv4_co2eq_per_cap</t>
  </si>
  <si>
    <t>st1_co2eq_per_cap</t>
  </si>
  <si>
    <t>COP</t>
  </si>
  <si>
    <t>Qmax</t>
  </si>
  <si>
    <t>param</t>
  </si>
  <si>
    <t>flow_temp</t>
  </si>
  <si>
    <t>VALUES</t>
  </si>
  <si>
    <t>INDEX</t>
  </si>
  <si>
    <t>name</t>
  </si>
  <si>
    <t>General Economic Data</t>
  </si>
  <si>
    <t>Electricity Prices</t>
  </si>
  <si>
    <t>maximum temperature allowed in buffer storage</t>
  </si>
  <si>
    <t>By raising the buffer storage temperature more energy can be stored in the same volume</t>
  </si>
  <si>
    <t>space constraints, typically 1000l</t>
  </si>
  <si>
    <t>Green sheets mark sheets where usually input data should be provided.</t>
  </si>
  <si>
    <t>Yellow sheets mark sheets where only advanced users should change data.</t>
  </si>
  <si>
    <t>Grey sheets are not meant to be modified.</t>
  </si>
  <si>
    <t>Important input parameters are marked in red. For other parameters default values can be used.</t>
  </si>
  <si>
    <t>pv1_kwp_per_m2</t>
  </si>
  <si>
    <t>pv2_kwp_per_m2</t>
  </si>
  <si>
    <t>pv3_kwp_per_m2</t>
  </si>
  <si>
    <t>pv4_kwp_per_m2</t>
  </si>
  <si>
    <t>Refurbishments</t>
  </si>
  <si>
    <t>refurb1_lifetime</t>
  </si>
  <si>
    <t>refurb1_fix_cost_inv</t>
  </si>
  <si>
    <t>refurb1_fix_cost_one_time</t>
  </si>
  <si>
    <t>refurb1_sto_co2eq_per_cap</t>
  </si>
  <si>
    <t xml:space="preserve">demand reduction of refurbishment measure </t>
  </si>
  <si>
    <t>percentage of total heat losses reduced</t>
  </si>
  <si>
    <t>kg CO2 eq.</t>
  </si>
  <si>
    <t>carbon intensity</t>
  </si>
  <si>
    <t>carbon intensity per kWh</t>
  </si>
  <si>
    <t>refurb2_dem_reduction</t>
  </si>
  <si>
    <t>refurb2_lifetime</t>
  </si>
  <si>
    <t>refurb2_fix_cost_inv</t>
  </si>
  <si>
    <t>refurb2_fix_cost_one_time</t>
  </si>
  <si>
    <t>refurb2_sto_co2eq_per_cap</t>
  </si>
  <si>
    <t>wall1_surface_azimuth</t>
  </si>
  <si>
    <t>wall2_surface_azimuth</t>
  </si>
  <si>
    <t>wall3_surface_azimuth</t>
  </si>
  <si>
    <t>wall4_surface_azimuth</t>
  </si>
  <si>
    <t>roof1_surface_azimuth</t>
  </si>
  <si>
    <t>roof2_surface_azimuth</t>
  </si>
  <si>
    <t>roof3_surface_azimuth</t>
  </si>
  <si>
    <t>roof4_surface_azimuth</t>
  </si>
  <si>
    <t>roof1_surface_tilt</t>
  </si>
  <si>
    <t>roof2_surface_tilt</t>
  </si>
  <si>
    <t>roof3_surface_tilt</t>
  </si>
  <si>
    <t>roof4_surface_tilt</t>
  </si>
  <si>
    <t>hp1_type</t>
  </si>
  <si>
    <t>hp1_lifetime</t>
  </si>
  <si>
    <t>hp1_inv_cost</t>
  </si>
  <si>
    <t>hp1_fix_cost_inv</t>
  </si>
  <si>
    <t>hp1_fix_cost_one_time</t>
  </si>
  <si>
    <t>hp1_fix_cost_yearly</t>
  </si>
  <si>
    <t>hp1_co2eq_per_cap</t>
  </si>
  <si>
    <t>ac1_type</t>
  </si>
  <si>
    <t>ac1_lifetime</t>
  </si>
  <si>
    <t>ac1_inv_cost</t>
  </si>
  <si>
    <t>ac1_fix_cost_inv</t>
  </si>
  <si>
    <t>ac1_fix_cost_one_time</t>
  </si>
  <si>
    <t>ac1_fix_cost_yearly</t>
  </si>
  <si>
    <t>ac1_co2eq_per_cap</t>
  </si>
  <si>
    <t>deh1_eff</t>
  </si>
  <si>
    <t>deh1_lifetime</t>
  </si>
  <si>
    <t>deh1_inv_cost</t>
  </si>
  <si>
    <t>deh1_fix_cost_inv</t>
  </si>
  <si>
    <t>deh1_fix_cost_one_time</t>
  </si>
  <si>
    <t>deh1_fix_cost_yearly</t>
  </si>
  <si>
    <t>deh1_co2eq_per_cap</t>
  </si>
  <si>
    <t>boiler1_eff</t>
  </si>
  <si>
    <t>boiler1_lifetime</t>
  </si>
  <si>
    <t>boiler1_inv_cost</t>
  </si>
  <si>
    <t>boiler1_fix_cost_inv</t>
  </si>
  <si>
    <t>boiler1_fix_cost_one_time</t>
  </si>
  <si>
    <t>boiler1_fix_cost_yearly</t>
  </si>
  <si>
    <t>boiler1_var_cost_t</t>
  </si>
  <si>
    <t>boiler1_co2eq_per_kwh_t</t>
  </si>
  <si>
    <t>batt1_eff_in</t>
  </si>
  <si>
    <t>batt1_eff_out</t>
  </si>
  <si>
    <t>batt1_eff_store</t>
  </si>
  <si>
    <t>batt1_lifetime</t>
  </si>
  <si>
    <t>batt1_max_cycles</t>
  </si>
  <si>
    <t>batt1_c_rate_max</t>
  </si>
  <si>
    <t>batt1_c__min_rel</t>
  </si>
  <si>
    <t>batt1_inv_cost</t>
  </si>
  <si>
    <t>batt1_fix_cost_inv</t>
  </si>
  <si>
    <t>batt1_fix_cost_one_time</t>
  </si>
  <si>
    <t>batt1_fix_cost_yearly</t>
  </si>
  <si>
    <t>batt1_co2eq_per_cap</t>
  </si>
  <si>
    <t>buffsto1_eff_store</t>
  </si>
  <si>
    <t>buffsto1_lifetime</t>
  </si>
  <si>
    <t>buffsto1_c_rate_max</t>
  </si>
  <si>
    <t>buffsto1_c__min_rel</t>
  </si>
  <si>
    <t>buffsto1_max_temp</t>
  </si>
  <si>
    <t>buffsto1_fix_cost_inv</t>
  </si>
  <si>
    <t>buffsto1_fix_cost_one_time</t>
  </si>
  <si>
    <t>buffsto1_fix_cost_yearly</t>
  </si>
  <si>
    <t>buffsto1_co2eq_per_cap</t>
  </si>
  <si>
    <t>dhwsto1_eff_store</t>
  </si>
  <si>
    <t>dhwsto1_lifetime</t>
  </si>
  <si>
    <t>dhwsto1_c_rate_max</t>
  </si>
  <si>
    <t>dhwsto1_c__min_rel</t>
  </si>
  <si>
    <t>dhwsto1_fix_cost_inv</t>
  </si>
  <si>
    <t>dhwsto1_fix_cost_one_time</t>
  </si>
  <si>
    <t>dhwsto1_fix_cost_yearly</t>
  </si>
  <si>
    <t>dhwsto1_co2eq_per_cap</t>
  </si>
  <si>
    <t xml:space="preserve">tilt of wall </t>
  </si>
  <si>
    <t>wall1_surface_tilt</t>
  </si>
  <si>
    <t>wall2_surface_tilt</t>
  </si>
  <si>
    <t>wall3_surface_tilt</t>
  </si>
  <si>
    <t>wall4_surface_tilt</t>
  </si>
  <si>
    <t>buffsto1_c_max_l</t>
  </si>
  <si>
    <t>dhwsto1_c_max</t>
  </si>
  <si>
    <t>batt1_c_max</t>
  </si>
  <si>
    <t>boiler1_p_max</t>
  </si>
  <si>
    <t>deh1_p_max</t>
  </si>
  <si>
    <t>kW</t>
  </si>
  <si>
    <t>ac1_p_max</t>
  </si>
  <si>
    <t>hp1_p_max</t>
  </si>
  <si>
    <t>st4_p_max</t>
  </si>
  <si>
    <t>st1_p_max</t>
  </si>
  <si>
    <t>st2_p_max</t>
  </si>
  <si>
    <t>st3_p_max</t>
  </si>
  <si>
    <t>pv1_p_max</t>
  </si>
  <si>
    <t>pv2_p_max</t>
  </si>
  <si>
    <t>pv3_p_max</t>
  </si>
  <si>
    <t>pv4_p_max</t>
  </si>
  <si>
    <t>refurb1_dem_red_factor</t>
  </si>
  <si>
    <t>wall1_window_area_m2</t>
  </si>
  <si>
    <t>wall2_window_area_m2</t>
  </si>
  <si>
    <t>wall3_window_area_m2</t>
  </si>
  <si>
    <t>wall4_window_area_m2</t>
  </si>
  <si>
    <t>roof1_window_area_m2</t>
  </si>
  <si>
    <t>roof2_window_area_m2</t>
  </si>
  <si>
    <t>roof3_window_area_m2</t>
  </si>
  <si>
    <t>roof4_window_area_m2</t>
  </si>
  <si>
    <t>wall1_solar_pot_area_m2</t>
  </si>
  <si>
    <t>wall2_solar_pot_area_m2</t>
  </si>
  <si>
    <t>wall3_solar_pot_area_m2</t>
  </si>
  <si>
    <t>wall4_solar_pot_area_m2</t>
  </si>
  <si>
    <t>roof1_solar_pot_area_m2</t>
  </si>
  <si>
    <t>roof2_solar_pot_area_m2</t>
  </si>
  <si>
    <t>roof3_solar_pot_area_m2</t>
  </si>
  <si>
    <t>roof4_solar_pot_area_m2</t>
  </si>
  <si>
    <t>default 1000 kW, actual potential is calculated using the solar potential area (Building Data)</t>
  </si>
  <si>
    <t>ref_heat_load</t>
  </si>
  <si>
    <t>reference heat load (Normheizlast)</t>
  </si>
  <si>
    <t>is calculated using transmission losses if not given</t>
  </si>
  <si>
    <t>m^3/h</t>
  </si>
  <si>
    <t>wall_c_eff</t>
  </si>
  <si>
    <t>effective thermal capacity of building volume (c_wirk)</t>
  </si>
  <si>
    <t>Wh/(m^3K)</t>
  </si>
  <si>
    <t>&lt; 50 light, 50 - 130 middle, &gt; 130 heavy</t>
  </si>
  <si>
    <t>pv1_p_min</t>
  </si>
  <si>
    <t>minimum installable capacity</t>
  </si>
  <si>
    <t>st2_co2eq_per_cap</t>
  </si>
  <si>
    <t>st3_co2eq_per_cap</t>
  </si>
  <si>
    <t>st4_co2eq_per_cap</t>
  </si>
  <si>
    <t>pv2_p_min</t>
  </si>
  <si>
    <t>pv3_p_min</t>
  </si>
  <si>
    <t>pv4_p_min</t>
  </si>
  <si>
    <t>PV 3</t>
  </si>
  <si>
    <t>PV 2</t>
  </si>
  <si>
    <t>PV 4</t>
  </si>
  <si>
    <t xml:space="preserve">batt1_c_min </t>
  </si>
  <si>
    <t>st1_p_min</t>
  </si>
  <si>
    <t>st3_p_min</t>
  </si>
  <si>
    <t>st2_p_min</t>
  </si>
  <si>
    <t>st4_p_min</t>
  </si>
  <si>
    <t>hp1_p_min</t>
  </si>
  <si>
    <t>ac1_p_min</t>
  </si>
  <si>
    <t>deh1_p_min</t>
  </si>
  <si>
    <t>buffsto1_c_min_l</t>
  </si>
  <si>
    <t>dhwsto1_c_min</t>
  </si>
  <si>
    <t>boiler1_p_min</t>
  </si>
  <si>
    <t>minimum capacity that can be installed</t>
  </si>
  <si>
    <t>ST 2</t>
  </si>
  <si>
    <t>ST 3</t>
  </si>
  <si>
    <t>ST 4</t>
  </si>
  <si>
    <t>wall 2</t>
  </si>
  <si>
    <t>wall 3</t>
  </si>
  <si>
    <t>wall 4</t>
  </si>
  <si>
    <t>roof 1</t>
  </si>
  <si>
    <t>roof 2</t>
  </si>
  <si>
    <t>roof 3</t>
  </si>
  <si>
    <t>roof 4</t>
  </si>
  <si>
    <t>real_interest_rate</t>
  </si>
  <si>
    <t>real interest rate</t>
  </si>
  <si>
    <t>CO2 Price</t>
  </si>
  <si>
    <t>co2_price</t>
  </si>
  <si>
    <t>€/ton</t>
  </si>
  <si>
    <t>CO2-price</t>
  </si>
  <si>
    <t>In 2025: 55€/t, in 2026: 55-65€/t, from 2027 on cap and trade (expectations of 100 - 200€/t</t>
  </si>
  <si>
    <t>Flex</t>
  </si>
  <si>
    <t>buffsto1_inv_cost</t>
  </si>
  <si>
    <t>dhwsto1_inv_cost</t>
  </si>
  <si>
    <t>buffsto1_eff_out</t>
  </si>
  <si>
    <t>dhwsto1_eff_out</t>
  </si>
  <si>
    <t>buffsto1_eff_in</t>
  </si>
  <si>
    <t>dhwsto1_eff_in</t>
  </si>
  <si>
    <t>Your specific energy consumption (kWh/m2a)</t>
  </si>
  <si>
    <t>Energy efficiency class</t>
  </si>
  <si>
    <t>A+</t>
  </si>
  <si>
    <t>A</t>
  </si>
  <si>
    <t>B</t>
  </si>
  <si>
    <t>C</t>
  </si>
  <si>
    <t>D</t>
  </si>
  <si>
    <t>E</t>
  </si>
  <si>
    <t>F</t>
  </si>
  <si>
    <t>G</t>
  </si>
  <si>
    <t>H</t>
  </si>
  <si>
    <t>In the sheets the needed input data for p2Home are collected. 
The sheets have the following structure: 
In the PARAMETERS section, parameter names are defined and a description is given. Parameter names should never be changed! 
In the SCENARIO VALUES sections the values for each parameter can be defined for different scenarios. The defined scenarios must be the same in all sheets! The maximum supported number of scenarios is 10.</t>
  </si>
  <si>
    <t>BAU</t>
  </si>
  <si>
    <t>€/kW</t>
  </si>
  <si>
    <t>nr_of_synPro_hh_1</t>
  </si>
  <si>
    <t>nr_of_synPro_hh_2</t>
  </si>
  <si>
    <t>nr_of_synPro_hh_3</t>
  </si>
  <si>
    <t>nr_of_synPro_hh_4</t>
  </si>
  <si>
    <t>number of fulltime employee housholds</t>
  </si>
  <si>
    <t>number of housholds with persons over 65 (retired)</t>
  </si>
  <si>
    <t>number of familiy households (or homeoffice)</t>
  </si>
  <si>
    <t>number of households with single persons under 30 (student)</t>
  </si>
  <si>
    <t>years</t>
  </si>
  <si>
    <t>e-mobility demand</t>
  </si>
  <si>
    <t>distance driven with one charge</t>
  </si>
  <si>
    <t>charging_type</t>
  </si>
  <si>
    <t>fast</t>
  </si>
  <si>
    <t>flat</t>
  </si>
  <si>
    <t>optimized</t>
  </si>
  <si>
    <t>charging type: can be fast (with maximum power), flat (constant within period) or optimized (cost-optimized, s.t. battery is full when car leaves charger)</t>
  </si>
  <si>
    <t>period when EV is connected to charging column, e.g. 18 - 7</t>
  </si>
  <si>
    <t>km</t>
  </si>
  <si>
    <t>average consumption of electric vehicle</t>
  </si>
  <si>
    <t>18-7</t>
  </si>
  <si>
    <t>maximum power of charging process</t>
  </si>
  <si>
    <t>obligatory, if used</t>
  </si>
  <si>
    <t>ev1_max_p</t>
  </si>
  <si>
    <t>ev1_period</t>
  </si>
  <si>
    <t>ev1_drivedist</t>
  </si>
  <si>
    <t>ev1_daysinweek</t>
  </si>
  <si>
    <t>ev1_chargetype</t>
  </si>
  <si>
    <t>ev2_max_p</t>
  </si>
  <si>
    <t>ev2_period</t>
  </si>
  <si>
    <t>ev2_drivedist</t>
  </si>
  <si>
    <t>ev2_daysinweek</t>
  </si>
  <si>
    <t>ev2_chargetype</t>
  </si>
  <si>
    <t>ev3_max_p</t>
  </si>
  <si>
    <t>ev3_period</t>
  </si>
  <si>
    <t>ev3_drivedist</t>
  </si>
  <si>
    <t>ev3_daysinweek</t>
  </si>
  <si>
    <t>ev3_chargetype</t>
  </si>
  <si>
    <t>p_el_imp_max</t>
  </si>
  <si>
    <t>el_emob_kwh_rate</t>
  </si>
  <si>
    <t>el_emob_basic_charge</t>
  </si>
  <si>
    <t>el_emob_is_dynamic_tariff</t>
  </si>
  <si>
    <t>comma-separated list of values between 1..7 (1=Monday), e.g. '1,2,3,4,5'</t>
  </si>
  <si>
    <t>1,2,3,4,5</t>
  </si>
  <si>
    <t>1,2,3</t>
  </si>
  <si>
    <t>kWh/100km</t>
  </si>
  <si>
    <t>ev2_kwhper100km</t>
  </si>
  <si>
    <t>ev1_kwhper100km</t>
  </si>
  <si>
    <t>ev3_kwhper100km</t>
  </si>
  <si>
    <t>tvg_lt_summer</t>
  </si>
  <si>
    <t>tvg_lt_windows_summer</t>
  </si>
  <si>
    <t xml:space="preserve">low tariff </t>
  </si>
  <si>
    <t>grid_fees_st</t>
  </si>
  <si>
    <t>standarf tariff</t>
  </si>
  <si>
    <t>e.g. 10ct/kWh</t>
  </si>
  <si>
    <t>(Variable) Grid Fees (EnWG 14a)</t>
  </si>
  <si>
    <t>e.g. 20ct/kWh</t>
  </si>
  <si>
    <t>low tariff window</t>
  </si>
  <si>
    <t>h</t>
  </si>
  <si>
    <t>HH-HH separated by comma e.g. "8-9,17-20"</t>
  </si>
  <si>
    <t>tvg_ht_summer</t>
  </si>
  <si>
    <t>tvg_ht_windows_summer</t>
  </si>
  <si>
    <t xml:space="preserve">high tariff </t>
  </si>
  <si>
    <t>high tariff window</t>
  </si>
  <si>
    <t>tvg_lt_transition</t>
  </si>
  <si>
    <t>tvg_lt_windows_transition</t>
  </si>
  <si>
    <t>tvg_ht_transition</t>
  </si>
  <si>
    <t>tvg_ht_windows_transition</t>
  </si>
  <si>
    <t>tvg_lt_winter</t>
  </si>
  <si>
    <t>tvg_lt_windows_winter</t>
  </si>
  <si>
    <t>tvg_ht_winter</t>
  </si>
  <si>
    <t>tvg_ht_windows_winter</t>
  </si>
  <si>
    <t>is used for calculating thermal inertia; outer walls only count half!</t>
  </si>
  <si>
    <t>approx. floor_area*room height</t>
  </si>
  <si>
    <t>must be in the range of 2019 - 2023</t>
  </si>
  <si>
    <t>for performance reasons timeseries reduction is recommended</t>
  </si>
  <si>
    <t>timeseries reduction reduces year to one typical refernce week per season</t>
  </si>
  <si>
    <t>interest rate</t>
  </si>
  <si>
    <t>period to be modelled</t>
  </si>
  <si>
    <t>dhw_l_per_person</t>
  </si>
  <si>
    <t>el_hh_grid_to_battery</t>
  </si>
  <si>
    <t>decision variable whether battery can be charged with electricity from grid</t>
  </si>
  <si>
    <t>el_hp_grid_to_battery</t>
  </si>
  <si>
    <t>el_emob_grid_to_battery</t>
  </si>
  <si>
    <t>el_hp_var_grid_fees</t>
  </si>
  <si>
    <t>decision variable for applying variable grid fees (EnWG 14a)</t>
  </si>
  <si>
    <t>el_emob_var_grid_fees</t>
  </si>
  <si>
    <t>el_hh_var_grid_fees</t>
  </si>
  <si>
    <t>dynamic tariff is automatically calculated based on EEX-prices, kwh rates and basic charges are applied additionally</t>
  </si>
  <si>
    <t>volumetric price component</t>
  </si>
  <si>
    <t>basic monthly charge</t>
  </si>
  <si>
    <t>0-6</t>
  </si>
  <si>
    <t>17-20</t>
  </si>
  <si>
    <t>avg_indoor_temp_night</t>
  </si>
  <si>
    <t>indoor temperature during the night</t>
  </si>
  <si>
    <t>is equal to day temp. If not given</t>
  </si>
  <si>
    <t>night_period</t>
  </si>
  <si>
    <t>period during which night temperature is applied</t>
  </si>
  <si>
    <t>HH-HH</t>
  </si>
  <si>
    <t>e.g. 0-6</t>
  </si>
  <si>
    <t>heating_threshold</t>
  </si>
  <si>
    <t>if heating threshold is applied, a heating demand is only calculated for days which have an average temperature lower than the threshold</t>
  </si>
  <si>
    <t>if none is given, no heating threshold is applied</t>
  </si>
  <si>
    <t>datatype</t>
  </si>
  <si>
    <t>float</t>
  </si>
  <si>
    <t>str</t>
  </si>
  <si>
    <t>wall1_horizon</t>
  </si>
  <si>
    <t>wall2_horizon</t>
  </si>
  <si>
    <t>wall3_horizon</t>
  </si>
  <si>
    <t>wall4_horizon</t>
  </si>
  <si>
    <t>roof1_horizon</t>
  </si>
  <si>
    <t>roof2_horizon</t>
  </si>
  <si>
    <t>roof3_horizon</t>
  </si>
  <si>
    <t>roof4_horizon</t>
  </si>
  <si>
    <t>see PVGIS documentation on 'userhorizon'</t>
  </si>
  <si>
    <t>horizon profile in °, e.g. "0,0,0,20,40,60,40,30,0". if nothing is given, horizon is assumed to be at 0°</t>
  </si>
  <si>
    <t>if not given, transmission losses need to be given</t>
  </si>
  <si>
    <t>days of week where EV is charged (1: Monday, 7: Sunday)</t>
  </si>
  <si>
    <t>maximum power rating of house connection</t>
  </si>
  <si>
    <t>0,10,20,10,0</t>
  </si>
  <si>
    <t>Refurbished</t>
  </si>
  <si>
    <t>PV + WP</t>
  </si>
  <si>
    <t>0° is North, 90° is East, 180° is South, 270° is West</t>
  </si>
  <si>
    <t>Location</t>
  </si>
  <si>
    <t>Consumption Data</t>
  </si>
  <si>
    <t>Sheet</t>
  </si>
  <si>
    <t>Description</t>
  </si>
  <si>
    <t>Building Data</t>
  </si>
  <si>
    <t>Technical Component Data</t>
  </si>
  <si>
    <t>Economic Data</t>
  </si>
  <si>
    <t>Model Settings</t>
  </si>
  <si>
    <t>HP Specifications</t>
  </si>
  <si>
    <t>Definitions</t>
  </si>
  <si>
    <t>Definitions for prefilled fields in other sheets</t>
  </si>
  <si>
    <t>Location (latitude, longitude) and reference heating temperature</t>
  </si>
  <si>
    <t>Data on household size, energy consumption (electricity, heating, hot water) and EV charging</t>
  </si>
  <si>
    <t>Data on heated area and orientation and size of roof/wall areas, windows</t>
  </si>
  <si>
    <t>Data on technical aspects and cost of energy system components: PV, Solar thermal, battery storage, heatpumps, AC, boilers, hot water storages, refurbishment measures</t>
  </si>
  <si>
    <t>Interest rate, costs of electricity and CO2 price</t>
  </si>
  <si>
    <t>Settings on climate data years to be considered and timeseries reduction</t>
  </si>
  <si>
    <t>COP and Qmax specifications for selected heatpump models</t>
  </si>
  <si>
    <t>force refurbishment option</t>
  </si>
  <si>
    <t>refurb1_is_built</t>
  </si>
  <si>
    <t>1: refurbishment forced, 
0: refurbishment not built,
empty: decision cost-optimized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</si>
</sst>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i/>
      <sz val="11"/>
      <color theme="1"/>
      <name val="Aptos Narrow"/>
      <family val="2"/>
      <scheme val="minor"/>
    </font>
    <font>
      <sz val="8"/>
      <name val="Aptos Narrow"/>
      <family val="2"/>
      <scheme val="minor"/>
    </font>
    <font>
      <sz val="11"/>
      <color rgb="FFFF0000"/>
      <name val="Aptos Narrow"/>
      <family val="2"/>
      <scheme val="minor"/>
    </font>
    <font>
      <b/>
      <sz val="11"/>
      <color rgb="FFFF0000"/>
      <name val="Aptos Narrow"/>
      <family val="2"/>
      <scheme val="minor"/>
    </font>
    <font>
      <sz val="11"/>
      <name val="Aptos Narrow"/>
      <family val="2"/>
      <scheme val="minor"/>
    </font>
    <font>
      <b/>
      <sz val="11"/>
      <name val="Aptos Narrow"/>
      <family val="2"/>
      <scheme val="minor"/>
    </font>
    <font>
      <b/>
      <i/>
      <sz val="11"/>
      <name val="Aptos Narrow"/>
      <family val="2"/>
      <scheme val="minor"/>
    </font>
    <font>
      <i/>
      <sz val="11"/>
      <name val="Aptos Narrow"/>
      <family val="2"/>
      <scheme val="minor"/>
    </font>
    <font>
      <sz val="11"/>
      <color theme="1" tint="0.499984740745262"/>
      <name val="Aptos Narrow"/>
      <family val="2"/>
      <scheme val="minor"/>
    </font>
    <font>
      <sz val="11"/>
      <color theme="0" tint="-0.14999847407452621"/>
      <name val="Aptos Narrow"/>
      <family val="2"/>
      <scheme val="minor"/>
    </font>
    <font>
      <u/>
      <sz val="11"/>
      <color theme="10"/>
      <name val="Aptos Narrow"/>
      <family val="2"/>
      <scheme val="minor"/>
    </font>
    <font>
      <sz val="11"/>
      <color theme="0"/>
      <name val="Aptos Narrow"/>
      <family val="2"/>
      <scheme val="minor"/>
    </font>
  </fonts>
  <fills count="9">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rgb="FFFFC000"/>
        <bgColor indexed="64"/>
      </patternFill>
    </fill>
    <fill>
      <patternFill patternType="solid">
        <fgColor theme="1" tint="0.499984740745262"/>
        <bgColor indexed="64"/>
      </patternFill>
    </fill>
    <fill>
      <patternFill patternType="solid">
        <fgColor theme="0"/>
        <bgColor indexed="64"/>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3">
    <xf numFmtId="0" fontId="0" fillId="0" borderId="0"/>
    <xf numFmtId="9" fontId="1" fillId="0" borderId="0" applyFont="0" applyFill="0" applyBorder="0" applyAlignment="0" applyProtection="0"/>
    <xf numFmtId="0" fontId="14" fillId="0" borderId="0" applyNumberFormat="0" applyFill="0" applyBorder="0" applyAlignment="0" applyProtection="0"/>
  </cellStyleXfs>
  <cellXfs count="62">
    <xf numFmtId="0" fontId="0" fillId="0" borderId="0" xfId="0"/>
    <xf numFmtId="0" fontId="2" fillId="0" borderId="0" xfId="0" applyFont="1"/>
    <xf numFmtId="9" fontId="0" fillId="0" borderId="0" xfId="1" applyFont="1" applyFill="1"/>
    <xf numFmtId="0" fontId="3" fillId="0" borderId="0" xfId="0" applyFont="1"/>
    <xf numFmtId="0" fontId="4" fillId="0" borderId="0" xfId="0" applyFont="1"/>
    <xf numFmtId="0" fontId="0" fillId="0" borderId="0" xfId="0" applyAlignment="1">
      <alignment wrapText="1"/>
    </xf>
    <xf numFmtId="0" fontId="6" fillId="0" borderId="0" xfId="0" applyFont="1"/>
    <xf numFmtId="0" fontId="0" fillId="5" borderId="0" xfId="0" applyFill="1"/>
    <xf numFmtId="0" fontId="0" fillId="6" borderId="0" xfId="0" applyFill="1"/>
    <xf numFmtId="0" fontId="0" fillId="7" borderId="0" xfId="0" applyFill="1"/>
    <xf numFmtId="0" fontId="4" fillId="0" borderId="0" xfId="0" applyFont="1" applyAlignment="1">
      <alignment wrapText="1"/>
    </xf>
    <xf numFmtId="0" fontId="10" fillId="0" borderId="0" xfId="0" applyFont="1"/>
    <xf numFmtId="0" fontId="11" fillId="0" borderId="0" xfId="0" applyFont="1"/>
    <xf numFmtId="0" fontId="2" fillId="0" borderId="0" xfId="0" applyFont="1" applyAlignment="1">
      <alignment wrapText="1"/>
    </xf>
    <xf numFmtId="0" fontId="3" fillId="0" borderId="0" xfId="0" applyFont="1" applyAlignment="1">
      <alignment wrapText="1"/>
    </xf>
    <xf numFmtId="0" fontId="11" fillId="0" borderId="0" xfId="0" applyFont="1" applyAlignment="1">
      <alignment wrapText="1"/>
    </xf>
    <xf numFmtId="0" fontId="7" fillId="4" borderId="1" xfId="0" applyFont="1" applyFill="1" applyBorder="1"/>
    <xf numFmtId="0" fontId="0" fillId="2" borderId="1" xfId="0" applyFill="1" applyBorder="1"/>
    <xf numFmtId="0" fontId="0" fillId="2" borderId="1" xfId="0" applyFill="1" applyBorder="1" applyAlignment="1">
      <alignment wrapText="1"/>
    </xf>
    <xf numFmtId="0" fontId="6" fillId="3" borderId="1" xfId="0" applyFont="1" applyFill="1" applyBorder="1"/>
    <xf numFmtId="0" fontId="2" fillId="4" borderId="1" xfId="0" applyFont="1" applyFill="1" applyBorder="1"/>
    <xf numFmtId="9" fontId="1" fillId="3" borderId="1" xfId="1" applyFont="1" applyFill="1" applyBorder="1"/>
    <xf numFmtId="0" fontId="0" fillId="3" borderId="1" xfId="0" applyFill="1" applyBorder="1"/>
    <xf numFmtId="0" fontId="2" fillId="2" borderId="1" xfId="0" applyFont="1" applyFill="1" applyBorder="1"/>
    <xf numFmtId="0" fontId="2" fillId="3" borderId="1" xfId="0" applyFont="1" applyFill="1" applyBorder="1"/>
    <xf numFmtId="10" fontId="1" fillId="3" borderId="1" xfId="1" applyNumberFormat="1" applyFont="1" applyFill="1" applyBorder="1"/>
    <xf numFmtId="9" fontId="0" fillId="3" borderId="1" xfId="1" applyFont="1" applyFill="1" applyBorder="1"/>
    <xf numFmtId="0" fontId="9" fillId="4" borderId="1" xfId="0" applyFont="1" applyFill="1" applyBorder="1"/>
    <xf numFmtId="164" fontId="1" fillId="3" borderId="1" xfId="1" applyNumberFormat="1" applyFont="1" applyFill="1" applyBorder="1"/>
    <xf numFmtId="0" fontId="2" fillId="4" borderId="1" xfId="0" applyFont="1" applyFill="1" applyBorder="1" applyAlignment="1">
      <alignment vertical="top"/>
    </xf>
    <xf numFmtId="0" fontId="0" fillId="2" borderId="1" xfId="0" applyFill="1" applyBorder="1" applyAlignment="1">
      <alignment vertical="top"/>
    </xf>
    <xf numFmtId="0" fontId="0" fillId="2" borderId="1" xfId="0" applyFill="1" applyBorder="1" applyAlignment="1">
      <alignment vertical="top" wrapText="1"/>
    </xf>
    <xf numFmtId="0" fontId="0" fillId="3" borderId="1" xfId="1" applyNumberFormat="1" applyFont="1" applyFill="1" applyBorder="1"/>
    <xf numFmtId="0" fontId="0" fillId="3" borderId="1" xfId="0" applyFill="1" applyBorder="1" applyAlignment="1">
      <alignment vertical="top"/>
    </xf>
    <xf numFmtId="0" fontId="8" fillId="0" borderId="0" xfId="0" applyFont="1"/>
    <xf numFmtId="2" fontId="6" fillId="0" borderId="0" xfId="0" applyNumberFormat="1" applyFont="1"/>
    <xf numFmtId="0" fontId="8" fillId="0" borderId="0" xfId="0" applyFont="1" applyAlignment="1">
      <alignment wrapText="1"/>
    </xf>
    <xf numFmtId="0" fontId="2" fillId="2" borderId="1" xfId="0" applyFont="1" applyFill="1" applyBorder="1" applyAlignment="1">
      <alignment wrapText="1"/>
    </xf>
    <xf numFmtId="0" fontId="8" fillId="3" borderId="1" xfId="0" applyFont="1" applyFill="1" applyBorder="1"/>
    <xf numFmtId="0" fontId="8" fillId="2" borderId="1" xfId="0" applyFont="1" applyFill="1" applyBorder="1"/>
    <xf numFmtId="0" fontId="8" fillId="2" borderId="1" xfId="0" applyFont="1" applyFill="1" applyBorder="1" applyAlignment="1">
      <alignment wrapText="1"/>
    </xf>
    <xf numFmtId="165" fontId="0" fillId="3" borderId="1" xfId="0" applyNumberFormat="1" applyFill="1" applyBorder="1"/>
    <xf numFmtId="0" fontId="7" fillId="4" borderId="1" xfId="0" applyFont="1" applyFill="1" applyBorder="1" applyAlignment="1">
      <alignment vertical="top"/>
    </xf>
    <xf numFmtId="0" fontId="6" fillId="3" borderId="1" xfId="0" applyFont="1" applyFill="1" applyBorder="1" applyAlignment="1">
      <alignment vertical="top"/>
    </xf>
    <xf numFmtId="0" fontId="0" fillId="4" borderId="1" xfId="0" applyFill="1" applyBorder="1"/>
    <xf numFmtId="2" fontId="0" fillId="3" borderId="1" xfId="0" applyNumberFormat="1" applyFill="1" applyBorder="1"/>
    <xf numFmtId="0" fontId="12" fillId="3" borderId="1" xfId="0" applyFont="1" applyFill="1" applyBorder="1"/>
    <xf numFmtId="10" fontId="0" fillId="3" borderId="1" xfId="1" applyNumberFormat="1" applyFont="1" applyFill="1" applyBorder="1"/>
    <xf numFmtId="0" fontId="0" fillId="0" borderId="0" xfId="0" applyAlignment="1">
      <alignment vertical="center"/>
    </xf>
    <xf numFmtId="0" fontId="0" fillId="8" borderId="0" xfId="0" applyFill="1"/>
    <xf numFmtId="0" fontId="2" fillId="8" borderId="0" xfId="0" applyFont="1" applyFill="1"/>
    <xf numFmtId="0" fontId="0" fillId="8" borderId="0" xfId="0" applyFill="1" applyAlignment="1">
      <alignment vertical="center"/>
    </xf>
    <xf numFmtId="0" fontId="0" fillId="0" borderId="0" xfId="0" applyAlignment="1">
      <alignment vertical="center" wrapText="1"/>
    </xf>
    <xf numFmtId="1" fontId="0" fillId="8" borderId="0" xfId="0" applyNumberFormat="1" applyFill="1" applyAlignment="1">
      <alignment horizontal="right"/>
    </xf>
    <xf numFmtId="0" fontId="2" fillId="8" borderId="0" xfId="0" applyFont="1" applyFill="1" applyAlignment="1">
      <alignment horizontal="right"/>
    </xf>
    <xf numFmtId="0" fontId="0" fillId="8" borderId="0" xfId="0" applyFill="1" applyAlignment="1">
      <alignment vertical="center" wrapText="1"/>
    </xf>
    <xf numFmtId="1" fontId="0" fillId="3" borderId="1" xfId="1" applyNumberFormat="1" applyFont="1" applyFill="1" applyBorder="1"/>
    <xf numFmtId="49" fontId="0" fillId="3" borderId="1" xfId="0" applyNumberFormat="1" applyFill="1" applyBorder="1"/>
    <xf numFmtId="15" fontId="9" fillId="4" borderId="1" xfId="0" applyNumberFormat="1" applyFont="1" applyFill="1" applyBorder="1"/>
    <xf numFmtId="0" fontId="13" fillId="3" borderId="1" xfId="0" applyFont="1" applyFill="1" applyBorder="1"/>
    <xf numFmtId="0" fontId="14" fillId="2" borderId="1" xfId="2" applyFill="1" applyBorder="1" applyAlignment="1">
      <alignment wrapText="1"/>
    </xf>
    <xf numFmtId="0" fontId="15" fillId="7" borderId="0" xfId="0" applyFont="1" applyFill="1"/>
  </cellXfs>
  <cellStyles count="3">
    <cellStyle name="Link" xfId="2" builtinId="8"/>
    <cellStyle name="Prozent" xfId="1" builtinId="5"/>
    <cellStyle name="Standard" xfId="0" builtinId="0"/>
  </cellStyles>
  <dxfs count="1">
    <dxf>
      <font>
        <b/>
        <i val="0"/>
        <strike val="0"/>
        <color rgb="FFFF0000"/>
      </font>
    </dxf>
  </dxfs>
  <tableStyles count="0" defaultTableStyle="TableStyleMedium2" defaultPivotStyle="PivotStyleLight16"/>
  <colors>
    <mruColors>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0199328230824294E-2"/>
          <c:y val="0.63647547655695003"/>
          <c:w val="0.85948987145837541"/>
          <c:h val="9.1944411555766048E-2"/>
        </c:manualLayout>
      </c:layout>
      <c:barChart>
        <c:barDir val="bar"/>
        <c:grouping val="clustered"/>
        <c:varyColors val="0"/>
        <c:ser>
          <c:idx val="0"/>
          <c:order val="0"/>
          <c:tx>
            <c:strRef>
              <c:f>'Consumption Data'!$P$2</c:f>
              <c:strCache>
                <c:ptCount val="1"/>
                <c:pt idx="0">
                  <c:v>Your specific energy consumption (kWh/m2a)</c:v>
                </c:pt>
              </c:strCache>
            </c:strRef>
          </c:tx>
          <c:spPr>
            <a:solidFill>
              <a:schemeClr val="accent1"/>
            </a:solidFill>
            <a:ln>
              <a:noFill/>
            </a:ln>
            <a:effectLst/>
          </c:spPr>
          <c:invertIfNegative val="0"/>
          <c:val>
            <c:numRef>
              <c:f>'Consumption Data'!$T$2</c:f>
              <c:numCache>
                <c:formatCode>0</c:formatCode>
                <c:ptCount val="1"/>
                <c:pt idx="0">
                  <c:v>148.64864864864865</c:v>
                </c:pt>
              </c:numCache>
            </c:numRef>
          </c:val>
          <c:extLst>
            <c:ext xmlns:c16="http://schemas.microsoft.com/office/drawing/2014/chart" uri="{C3380CC4-5D6E-409C-BE32-E72D297353CC}">
              <c16:uniqueId val="{00000000-EE22-4C7A-8D49-0F2F67DC054E}"/>
            </c:ext>
          </c:extLst>
        </c:ser>
        <c:dLbls>
          <c:showLegendKey val="0"/>
          <c:showVal val="0"/>
          <c:showCatName val="0"/>
          <c:showSerName val="0"/>
          <c:showPercent val="0"/>
          <c:showBubbleSize val="0"/>
        </c:dLbls>
        <c:gapWidth val="182"/>
        <c:axId val="1653149535"/>
        <c:axId val="1653150015"/>
      </c:barChart>
      <c:catAx>
        <c:axId val="1653149535"/>
        <c:scaling>
          <c:orientation val="minMax"/>
        </c:scaling>
        <c:delete val="1"/>
        <c:axPos val="l"/>
        <c:majorTickMark val="none"/>
        <c:minorTickMark val="none"/>
        <c:tickLblPos val="nextTo"/>
        <c:crossAx val="1653150015"/>
        <c:crosses val="autoZero"/>
        <c:auto val="1"/>
        <c:lblAlgn val="ctr"/>
        <c:lblOffset val="100"/>
        <c:noMultiLvlLbl val="0"/>
      </c:catAx>
      <c:valAx>
        <c:axId val="1653150015"/>
        <c:scaling>
          <c:orientation val="minMax"/>
          <c:max val="2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653149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COP</a:t>
            </a:r>
            <a:r>
              <a:rPr lang="de-DE" baseline="0"/>
              <a:t> vitocal_250A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'HP Specifications'!$C$3</c:f>
              <c:strCache>
                <c:ptCount val="1"/>
                <c:pt idx="0">
                  <c:v>25</c:v>
                </c:pt>
              </c:strCache>
            </c:strRef>
          </c:tx>
          <c:spPr>
            <a:ln w="28575" cap="rnd">
              <a:solidFill>
                <a:srgbClr val="00B0F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Specifications'!$D$3:$M$3</c:f>
              <c:numCache>
                <c:formatCode>General</c:formatCode>
                <c:ptCount val="10"/>
                <c:pt idx="0">
                  <c:v>2.6</c:v>
                </c:pt>
                <c:pt idx="1">
                  <c:v>2.8</c:v>
                </c:pt>
                <c:pt idx="2">
                  <c:v>3.2</c:v>
                </c:pt>
                <c:pt idx="3">
                  <c:v>3.4</c:v>
                </c:pt>
                <c:pt idx="4">
                  <c:v>4.5</c:v>
                </c:pt>
                <c:pt idx="5">
                  <c:v>5.8</c:v>
                </c:pt>
                <c:pt idx="6">
                  <c:v>5.8</c:v>
                </c:pt>
                <c:pt idx="7">
                  <c:v>8.4</c:v>
                </c:pt>
                <c:pt idx="8">
                  <c:v>8.6999999999999993</c:v>
                </c:pt>
                <c:pt idx="9">
                  <c:v>8.6999999999999993</c:v>
                </c:pt>
              </c:numCache>
            </c:numRef>
          </c:val>
          <c:smooth val="0"/>
          <c:extLst>
            <c:ext xmlns:c16="http://schemas.microsoft.com/office/drawing/2014/chart" uri="{C3380CC4-5D6E-409C-BE32-E72D297353CC}">
              <c16:uniqueId val="{00000000-B464-4575-B1D3-CC687808F4A9}"/>
            </c:ext>
          </c:extLst>
        </c:ser>
        <c:ser>
          <c:idx val="1"/>
          <c:order val="1"/>
          <c:tx>
            <c:strRef>
              <c:f>'HP Specifications'!$C$4</c:f>
              <c:strCache>
                <c:ptCount val="1"/>
                <c:pt idx="0">
                  <c:v>35</c:v>
                </c:pt>
              </c:strCache>
            </c:strRef>
          </c:tx>
          <c:spPr>
            <a:ln w="28575" cap="rnd">
              <a:solidFill>
                <a:srgbClr val="00B05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Specifications'!$D$4:$M$4</c:f>
              <c:numCache>
                <c:formatCode>General</c:formatCode>
                <c:ptCount val="10"/>
                <c:pt idx="0">
                  <c:v>2.2999999999999998</c:v>
                </c:pt>
                <c:pt idx="1">
                  <c:v>2.5</c:v>
                </c:pt>
                <c:pt idx="2">
                  <c:v>2.8</c:v>
                </c:pt>
                <c:pt idx="3">
                  <c:v>3</c:v>
                </c:pt>
                <c:pt idx="4">
                  <c:v>4</c:v>
                </c:pt>
                <c:pt idx="5">
                  <c:v>5.2</c:v>
                </c:pt>
                <c:pt idx="6">
                  <c:v>5.2</c:v>
                </c:pt>
                <c:pt idx="7">
                  <c:v>8.1999999999999993</c:v>
                </c:pt>
                <c:pt idx="8">
                  <c:v>8.6999999999999993</c:v>
                </c:pt>
                <c:pt idx="9">
                  <c:v>8.6999999999999993</c:v>
                </c:pt>
              </c:numCache>
            </c:numRef>
          </c:val>
          <c:smooth val="0"/>
          <c:extLst>
            <c:ext xmlns:c16="http://schemas.microsoft.com/office/drawing/2014/chart" uri="{C3380CC4-5D6E-409C-BE32-E72D297353CC}">
              <c16:uniqueId val="{00000001-B464-4575-B1D3-CC687808F4A9}"/>
            </c:ext>
          </c:extLst>
        </c:ser>
        <c:ser>
          <c:idx val="2"/>
          <c:order val="2"/>
          <c:tx>
            <c:strRef>
              <c:f>'HP Specifications'!$C$5</c:f>
              <c:strCache>
                <c:ptCount val="1"/>
                <c:pt idx="0">
                  <c:v>45</c:v>
                </c:pt>
              </c:strCache>
            </c:strRef>
          </c:tx>
          <c:spPr>
            <a:ln w="28575" cap="rnd">
              <a:solidFill>
                <a:srgbClr val="92D05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Specifications'!$D$5:$M$5</c:f>
              <c:numCache>
                <c:formatCode>General</c:formatCode>
                <c:ptCount val="10"/>
                <c:pt idx="0">
                  <c:v>2</c:v>
                </c:pt>
                <c:pt idx="1">
                  <c:v>2.2000000000000002</c:v>
                </c:pt>
                <c:pt idx="2">
                  <c:v>2.4</c:v>
                </c:pt>
                <c:pt idx="3">
                  <c:v>2.6</c:v>
                </c:pt>
                <c:pt idx="4">
                  <c:v>3.3</c:v>
                </c:pt>
                <c:pt idx="5">
                  <c:v>4.0999999999999996</c:v>
                </c:pt>
                <c:pt idx="6">
                  <c:v>4.8</c:v>
                </c:pt>
                <c:pt idx="7">
                  <c:v>5.4</c:v>
                </c:pt>
                <c:pt idx="8">
                  <c:v>8.5</c:v>
                </c:pt>
                <c:pt idx="9">
                  <c:v>8.5</c:v>
                </c:pt>
              </c:numCache>
            </c:numRef>
          </c:val>
          <c:smooth val="0"/>
          <c:extLst>
            <c:ext xmlns:c16="http://schemas.microsoft.com/office/drawing/2014/chart" uri="{C3380CC4-5D6E-409C-BE32-E72D297353CC}">
              <c16:uniqueId val="{00000002-B464-4575-B1D3-CC687808F4A9}"/>
            </c:ext>
          </c:extLst>
        </c:ser>
        <c:ser>
          <c:idx val="3"/>
          <c:order val="3"/>
          <c:tx>
            <c:strRef>
              <c:f>'HP Specifications'!$C$6</c:f>
              <c:strCache>
                <c:ptCount val="1"/>
                <c:pt idx="0">
                  <c:v>55</c:v>
                </c:pt>
              </c:strCache>
            </c:strRef>
          </c:tx>
          <c:spPr>
            <a:ln w="28575" cap="rnd">
              <a:solidFill>
                <a:srgbClr val="FFFF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Specifications'!$D$6:$M$6</c:f>
              <c:numCache>
                <c:formatCode>General</c:formatCode>
                <c:ptCount val="10"/>
                <c:pt idx="0">
                  <c:v>1.8</c:v>
                </c:pt>
                <c:pt idx="1">
                  <c:v>2</c:v>
                </c:pt>
                <c:pt idx="2">
                  <c:v>2.2000000000000002</c:v>
                </c:pt>
                <c:pt idx="3">
                  <c:v>2.2999999999999998</c:v>
                </c:pt>
                <c:pt idx="4">
                  <c:v>2.8</c:v>
                </c:pt>
                <c:pt idx="5">
                  <c:v>3.4</c:v>
                </c:pt>
                <c:pt idx="6">
                  <c:v>3.7</c:v>
                </c:pt>
                <c:pt idx="7">
                  <c:v>4.8</c:v>
                </c:pt>
                <c:pt idx="8">
                  <c:v>6.4</c:v>
                </c:pt>
                <c:pt idx="9">
                  <c:v>6.4</c:v>
                </c:pt>
              </c:numCache>
            </c:numRef>
          </c:val>
          <c:smooth val="0"/>
          <c:extLst>
            <c:ext xmlns:c16="http://schemas.microsoft.com/office/drawing/2014/chart" uri="{C3380CC4-5D6E-409C-BE32-E72D297353CC}">
              <c16:uniqueId val="{00000003-B464-4575-B1D3-CC687808F4A9}"/>
            </c:ext>
          </c:extLst>
        </c:ser>
        <c:ser>
          <c:idx val="4"/>
          <c:order val="4"/>
          <c:tx>
            <c:strRef>
              <c:f>'HP Specifications'!$C$7</c:f>
              <c:strCache>
                <c:ptCount val="1"/>
                <c:pt idx="0">
                  <c:v>65</c:v>
                </c:pt>
              </c:strCache>
            </c:strRef>
          </c:tx>
          <c:spPr>
            <a:ln w="28575" cap="rnd">
              <a:solidFill>
                <a:srgbClr val="FFC0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Specifications'!$D$7:$M$7</c:f>
              <c:numCache>
                <c:formatCode>General</c:formatCode>
                <c:ptCount val="10"/>
                <c:pt idx="0">
                  <c:v>1.6</c:v>
                </c:pt>
                <c:pt idx="1">
                  <c:v>1.8</c:v>
                </c:pt>
                <c:pt idx="2">
                  <c:v>2</c:v>
                </c:pt>
                <c:pt idx="3">
                  <c:v>2.1</c:v>
                </c:pt>
                <c:pt idx="4">
                  <c:v>2.5</c:v>
                </c:pt>
                <c:pt idx="5">
                  <c:v>2.8</c:v>
                </c:pt>
                <c:pt idx="6">
                  <c:v>3</c:v>
                </c:pt>
                <c:pt idx="7">
                  <c:v>3.7</c:v>
                </c:pt>
                <c:pt idx="8">
                  <c:v>4.7</c:v>
                </c:pt>
                <c:pt idx="9">
                  <c:v>4.7</c:v>
                </c:pt>
              </c:numCache>
            </c:numRef>
          </c:val>
          <c:smooth val="0"/>
          <c:extLst>
            <c:ext xmlns:c16="http://schemas.microsoft.com/office/drawing/2014/chart" uri="{C3380CC4-5D6E-409C-BE32-E72D297353CC}">
              <c16:uniqueId val="{00000004-B464-4575-B1D3-CC687808F4A9}"/>
            </c:ext>
          </c:extLst>
        </c:ser>
        <c:ser>
          <c:idx val="5"/>
          <c:order val="5"/>
          <c:tx>
            <c:strRef>
              <c:f>'HP Specifications'!$C$8</c:f>
              <c:strCache>
                <c:ptCount val="1"/>
                <c:pt idx="0">
                  <c:v>70</c:v>
                </c:pt>
              </c:strCache>
            </c:strRef>
          </c:tx>
          <c:spPr>
            <a:ln w="28575" cap="rnd">
              <a:solidFill>
                <a:srgbClr val="FF00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Specifications'!$D$8:$M$8</c:f>
              <c:numCache>
                <c:formatCode>General</c:formatCode>
                <c:ptCount val="10"/>
                <c:pt idx="0">
                  <c:v>0</c:v>
                </c:pt>
                <c:pt idx="1">
                  <c:v>0</c:v>
                </c:pt>
                <c:pt idx="2">
                  <c:v>1.8</c:v>
                </c:pt>
                <c:pt idx="3">
                  <c:v>1.9</c:v>
                </c:pt>
                <c:pt idx="4">
                  <c:v>2.2999999999999998</c:v>
                </c:pt>
                <c:pt idx="5">
                  <c:v>2.6</c:v>
                </c:pt>
                <c:pt idx="6">
                  <c:v>2.7</c:v>
                </c:pt>
                <c:pt idx="7">
                  <c:v>3.3</c:v>
                </c:pt>
                <c:pt idx="8">
                  <c:v>4.0999999999999996</c:v>
                </c:pt>
                <c:pt idx="9">
                  <c:v>4.0999999999999996</c:v>
                </c:pt>
              </c:numCache>
            </c:numRef>
          </c:val>
          <c:smooth val="0"/>
          <c:extLst>
            <c:ext xmlns:c16="http://schemas.microsoft.com/office/drawing/2014/chart" uri="{C3380CC4-5D6E-409C-BE32-E72D297353CC}">
              <c16:uniqueId val="{00000005-B464-4575-B1D3-CC687808F4A9}"/>
            </c:ext>
          </c:extLst>
        </c:ser>
        <c:dLbls>
          <c:showLegendKey val="0"/>
          <c:showVal val="0"/>
          <c:showCatName val="0"/>
          <c:showSerName val="0"/>
          <c:showPercent val="0"/>
          <c:showBubbleSize val="0"/>
        </c:dLbls>
        <c:smooth val="0"/>
        <c:axId val="490389087"/>
        <c:axId val="490382847"/>
      </c:lineChart>
      <c:catAx>
        <c:axId val="490389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0382847"/>
        <c:crosses val="autoZero"/>
        <c:auto val="1"/>
        <c:lblAlgn val="ctr"/>
        <c:lblOffset val="100"/>
        <c:noMultiLvlLbl val="0"/>
      </c:catAx>
      <c:valAx>
        <c:axId val="490382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03890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COP bosch_ClimateClass8000i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'HP Specifications'!$C$15</c:f>
              <c:strCache>
                <c:ptCount val="1"/>
                <c:pt idx="0">
                  <c:v>20</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'HP Specifications'!$D$2:$M$2</c15:sqref>
                  </c15:fullRef>
                </c:ext>
              </c:extLst>
              <c:f>'HP Specifications'!$D$2:$K$2</c:f>
              <c:numCache>
                <c:formatCode>General</c:formatCode>
                <c:ptCount val="8"/>
                <c:pt idx="0">
                  <c:v>-20</c:v>
                </c:pt>
                <c:pt idx="1">
                  <c:v>-15</c:v>
                </c:pt>
                <c:pt idx="2">
                  <c:v>-10</c:v>
                </c:pt>
                <c:pt idx="3">
                  <c:v>-7</c:v>
                </c:pt>
                <c:pt idx="4">
                  <c:v>2</c:v>
                </c:pt>
                <c:pt idx="5">
                  <c:v>7</c:v>
                </c:pt>
                <c:pt idx="6">
                  <c:v>10</c:v>
                </c:pt>
                <c:pt idx="7">
                  <c:v>20</c:v>
                </c:pt>
              </c:numCache>
            </c:numRef>
          </c:cat>
          <c:val>
            <c:numRef>
              <c:extLst>
                <c:ext xmlns:c15="http://schemas.microsoft.com/office/drawing/2012/chart" uri="{02D57815-91ED-43cb-92C2-25804820EDAC}">
                  <c15:fullRef>
                    <c15:sqref>'HP Specifications'!$D$15:$M$15</c15:sqref>
                  </c15:fullRef>
                </c:ext>
              </c:extLst>
              <c:f>'HP Specifications'!$D$15:$K$15</c:f>
              <c:numCache>
                <c:formatCode>General</c:formatCode>
                <c:ptCount val="8"/>
                <c:pt idx="0">
                  <c:v>0</c:v>
                </c:pt>
                <c:pt idx="1">
                  <c:v>2.8</c:v>
                </c:pt>
                <c:pt idx="2">
                  <c:v>3</c:v>
                </c:pt>
                <c:pt idx="3">
                  <c:v>3.5</c:v>
                </c:pt>
                <c:pt idx="4">
                  <c:v>5.0999999999999996</c:v>
                </c:pt>
                <c:pt idx="5">
                  <c:v>6.2</c:v>
                </c:pt>
                <c:pt idx="6" formatCode="0.0">
                  <c:v>6.6153846153846159</c:v>
                </c:pt>
                <c:pt idx="7">
                  <c:v>8</c:v>
                </c:pt>
              </c:numCache>
            </c:numRef>
          </c:val>
          <c:smooth val="0"/>
          <c:extLst>
            <c:ext xmlns:c16="http://schemas.microsoft.com/office/drawing/2014/chart" uri="{C3380CC4-5D6E-409C-BE32-E72D297353CC}">
              <c16:uniqueId val="{00000000-3D9C-49D1-932A-B488E1F0A23A}"/>
            </c:ext>
          </c:extLst>
        </c:ser>
        <c:dLbls>
          <c:showLegendKey val="0"/>
          <c:showVal val="0"/>
          <c:showCatName val="0"/>
          <c:showSerName val="0"/>
          <c:showPercent val="0"/>
          <c:showBubbleSize val="0"/>
        </c:dLbls>
        <c:smooth val="0"/>
        <c:axId val="515381183"/>
        <c:axId val="515378783"/>
      </c:lineChart>
      <c:catAx>
        <c:axId val="515381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5378783"/>
        <c:crosses val="autoZero"/>
        <c:auto val="1"/>
        <c:lblAlgn val="ctr"/>
        <c:lblOffset val="100"/>
        <c:noMultiLvlLbl val="0"/>
      </c:catAx>
      <c:valAx>
        <c:axId val="51537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5381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15</xdr:col>
      <xdr:colOff>28574</xdr:colOff>
      <xdr:row>7</xdr:row>
      <xdr:rowOff>123825</xdr:rowOff>
    </xdr:from>
    <xdr:ext cx="4086226" cy="2033588"/>
    <xdr:pic>
      <xdr:nvPicPr>
        <xdr:cNvPr id="2" name="Grafik 1" descr="Ein Bild, das Text, Screenshot, Schrift, Zahl enthält.&#10;&#10;Automatisch generierte Beschreibung">
          <a:extLst>
            <a:ext uri="{FF2B5EF4-FFF2-40B4-BE49-F238E27FC236}">
              <a16:creationId xmlns:a16="http://schemas.microsoft.com/office/drawing/2014/main" id="{61267A4E-225E-4421-82A5-DAA750E2B416}"/>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1922" t="18167" r="5840" b="8732"/>
        <a:stretch/>
      </xdr:blipFill>
      <xdr:spPr>
        <a:xfrm>
          <a:off x="7781924" y="1266825"/>
          <a:ext cx="4086226" cy="2033588"/>
        </a:xfrm>
        <a:prstGeom prst="rect">
          <a:avLst/>
        </a:prstGeom>
      </xdr:spPr>
    </xdr:pic>
    <xdr:clientData/>
  </xdr:oneCellAnchor>
  <xdr:twoCellAnchor>
    <xdr:from>
      <xdr:col>15</xdr:col>
      <xdr:colOff>9525</xdr:colOff>
      <xdr:row>3</xdr:row>
      <xdr:rowOff>9525</xdr:rowOff>
    </xdr:from>
    <xdr:to>
      <xdr:col>20</xdr:col>
      <xdr:colOff>390525</xdr:colOff>
      <xdr:row>7</xdr:row>
      <xdr:rowOff>76200</xdr:rowOff>
    </xdr:to>
    <xdr:graphicFrame macro="">
      <xdr:nvGraphicFramePr>
        <xdr:cNvPr id="3" name="Diagramm 2">
          <a:extLst>
            <a:ext uri="{FF2B5EF4-FFF2-40B4-BE49-F238E27FC236}">
              <a16:creationId xmlns:a16="http://schemas.microsoft.com/office/drawing/2014/main" id="{4D1E845C-A55C-9CC7-5EC3-5B21DD2DC6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200025</xdr:colOff>
      <xdr:row>1</xdr:row>
      <xdr:rowOff>4762</xdr:rowOff>
    </xdr:from>
    <xdr:to>
      <xdr:col>19</xdr:col>
      <xdr:colOff>200025</xdr:colOff>
      <xdr:row>16</xdr:row>
      <xdr:rowOff>9526</xdr:rowOff>
    </xdr:to>
    <xdr:graphicFrame macro="">
      <xdr:nvGraphicFramePr>
        <xdr:cNvPr id="6" name="Diagramm 5">
          <a:extLst>
            <a:ext uri="{FF2B5EF4-FFF2-40B4-BE49-F238E27FC236}">
              <a16:creationId xmlns:a16="http://schemas.microsoft.com/office/drawing/2014/main" id="{B17ACDB0-041F-CECD-26BE-1A5C96F8F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204787</xdr:colOff>
      <xdr:row>16</xdr:row>
      <xdr:rowOff>71437</xdr:rowOff>
    </xdr:from>
    <xdr:to>
      <xdr:col>19</xdr:col>
      <xdr:colOff>204787</xdr:colOff>
      <xdr:row>30</xdr:row>
      <xdr:rowOff>147637</xdr:rowOff>
    </xdr:to>
    <xdr:graphicFrame macro="">
      <xdr:nvGraphicFramePr>
        <xdr:cNvPr id="7" name="Diagramm 6">
          <a:extLst>
            <a:ext uri="{FF2B5EF4-FFF2-40B4-BE49-F238E27FC236}">
              <a16:creationId xmlns:a16="http://schemas.microsoft.com/office/drawing/2014/main" id="{6D80DFBB-29D8-6DC4-583E-D60812C7CF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1396E9-19EF-449A-B46B-67C21F4268FA}" name="Tabelle3" displayName="Tabelle3" ref="A1:A3" totalsRowShown="0">
  <autoFilter ref="A1:A3" xr:uid="{AF1396E9-19EF-449A-B46B-67C21F4268FA}"/>
  <tableColumns count="1">
    <tableColumn id="1" xr3:uid="{BDD9C9F0-44BE-4C73-8A74-1BF2E81A9B22}" name="building_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380AD-3398-4383-B71E-0471C74CFEC1}" name="Tabelle4" displayName="Tabelle4" ref="B1:B9" totalsRowShown="0">
  <autoFilter ref="B1:B9" xr:uid="{E8F380AD-3398-4383-B71E-0471C74CFEC1}"/>
  <tableColumns count="1">
    <tableColumn id="1" xr3:uid="{1BA7DCF9-59A7-498A-AD65-43292FB4F7A7}" name="building_area_compon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240509-7B51-4E74-985C-A4E13CBDDBAA}" name="Tabelle2" displayName="Tabelle2" ref="C1:C6" totalsRowShown="0">
  <autoFilter ref="C1:C6" xr:uid="{00240509-7B51-4E74-985C-A4E13CBDDBAA}"/>
  <tableColumns count="1">
    <tableColumn id="1" xr3:uid="{24777E43-DCF1-4AC7-A030-56582125389D}" name="st_collector_typ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86E2811-6422-4535-B050-29A711307525}" name="Tabelle5" displayName="Tabelle5" ref="D1:D2" totalsRowShown="0">
  <autoFilter ref="D1:D2" xr:uid="{D86E2811-6422-4535-B050-29A711307525}"/>
  <tableColumns count="1">
    <tableColumn id="1" xr3:uid="{8F94C114-90C3-44BE-9740-0212F13D7945}" name="hp_types_air_wa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05566A-FEAD-46F0-AA97-9ECE8C0D1305}" name="Tabelle6" displayName="Tabelle6" ref="E1:G4" totalsRowShown="0">
  <autoFilter ref="E1:G4" xr:uid="{5505566A-FEAD-46F0-AA97-9ECE8C0D1305}"/>
  <tableColumns count="3">
    <tableColumn id="1" xr3:uid="{D84D723D-1F6E-42BA-BEA1-4977AA049AE6}" name="ac_types"/>
    <tableColumn id="2" xr3:uid="{6A117B0F-FF7B-4909-896F-87E04C540CDA}" name="charging_type"/>
    <tableColumn id="3" xr3:uid="{B8544600-C52E-4050-AC73-6F1473BF7DFB}" name="dhw_l_per_perso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waermepumpe.de/werkzeuge/klimakarte/"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joint-research-centre.ec.europa.eu/photovoltaic-geographical-information-system-pvgis/getting-started-pvgis/pvgis-user-manual_en" TargetMode="External"/><Relationship Id="rId3" Type="http://schemas.openxmlformats.org/officeDocument/2006/relationships/hyperlink" Target="https://joint-research-centre.ec.europa.eu/photovoltaic-geographical-information-system-pvgis/getting-started-pvgis/pvgis-user-manual_en" TargetMode="External"/><Relationship Id="rId7" Type="http://schemas.openxmlformats.org/officeDocument/2006/relationships/hyperlink" Target="https://joint-research-centre.ec.europa.eu/photovoltaic-geographical-information-system-pvgis/getting-started-pvgis/pvgis-user-manual_en" TargetMode="External"/><Relationship Id="rId2" Type="http://schemas.openxmlformats.org/officeDocument/2006/relationships/hyperlink" Target="https://joint-research-centre.ec.europa.eu/photovoltaic-geographical-information-system-pvgis/getting-started-pvgis/pvgis-user-manual_en" TargetMode="External"/><Relationship Id="rId1" Type="http://schemas.openxmlformats.org/officeDocument/2006/relationships/hyperlink" Target="https://joint-research-centre.ec.europa.eu/photovoltaic-geographical-information-system-pvgis/getting-started-pvgis/pvgis-user-manual_en" TargetMode="External"/><Relationship Id="rId6" Type="http://schemas.openxmlformats.org/officeDocument/2006/relationships/hyperlink" Target="https://joint-research-centre.ec.europa.eu/photovoltaic-geographical-information-system-pvgis/getting-started-pvgis/pvgis-user-manual_en" TargetMode="External"/><Relationship Id="rId5" Type="http://schemas.openxmlformats.org/officeDocument/2006/relationships/hyperlink" Target="https://joint-research-centre.ec.europa.eu/photovoltaic-geographical-information-system-pvgis/getting-started-pvgis/pvgis-user-manual_en" TargetMode="External"/><Relationship Id="rId4" Type="http://schemas.openxmlformats.org/officeDocument/2006/relationships/hyperlink" Target="https://joint-research-centre.ec.europa.eu/photovoltaic-geographical-information-system-pvgis/getting-started-pvgis/pvgis-user-manual_en" TargetMode="External"/><Relationship Id="rId9"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3684-3CA1-4CDB-8D5D-AC9881299DEF}">
  <sheetPr>
    <tabColor theme="9"/>
  </sheetPr>
  <dimension ref="A1:B17"/>
  <sheetViews>
    <sheetView workbookViewId="0">
      <selection activeCell="G14" sqref="G14"/>
    </sheetView>
  </sheetViews>
  <sheetFormatPr baseColWidth="10" defaultRowHeight="15" x14ac:dyDescent="0.25"/>
  <cols>
    <col min="1" max="1" width="109.140625" customWidth="1"/>
  </cols>
  <sheetData>
    <row r="1" spans="1:2" ht="90" x14ac:dyDescent="0.25">
      <c r="A1" s="10" t="s">
        <v>482</v>
      </c>
    </row>
    <row r="3" spans="1:2" x14ac:dyDescent="0.25">
      <c r="A3" s="7" t="s">
        <v>284</v>
      </c>
    </row>
    <row r="4" spans="1:2" x14ac:dyDescent="0.25">
      <c r="A4" s="8" t="s">
        <v>285</v>
      </c>
    </row>
    <row r="5" spans="1:2" x14ac:dyDescent="0.25">
      <c r="A5" s="9" t="s">
        <v>286</v>
      </c>
    </row>
    <row r="6" spans="1:2" x14ac:dyDescent="0.25">
      <c r="A6" s="6" t="s">
        <v>287</v>
      </c>
    </row>
    <row r="9" spans="1:2" x14ac:dyDescent="0.25">
      <c r="A9" s="1" t="s">
        <v>609</v>
      </c>
      <c r="B9" s="1" t="s">
        <v>610</v>
      </c>
    </row>
    <row r="10" spans="1:2" x14ac:dyDescent="0.25">
      <c r="A10" s="7" t="s">
        <v>607</v>
      </c>
      <c r="B10" t="s">
        <v>618</v>
      </c>
    </row>
    <row r="11" spans="1:2" x14ac:dyDescent="0.25">
      <c r="A11" s="7" t="s">
        <v>608</v>
      </c>
      <c r="B11" t="s">
        <v>619</v>
      </c>
    </row>
    <row r="12" spans="1:2" x14ac:dyDescent="0.25">
      <c r="A12" s="7" t="s">
        <v>611</v>
      </c>
      <c r="B12" t="s">
        <v>620</v>
      </c>
    </row>
    <row r="13" spans="1:2" x14ac:dyDescent="0.25">
      <c r="A13" s="7" t="s">
        <v>612</v>
      </c>
      <c r="B13" t="s">
        <v>621</v>
      </c>
    </row>
    <row r="14" spans="1:2" x14ac:dyDescent="0.25">
      <c r="A14" s="7" t="s">
        <v>613</v>
      </c>
      <c r="B14" t="s">
        <v>622</v>
      </c>
    </row>
    <row r="15" spans="1:2" x14ac:dyDescent="0.25">
      <c r="A15" s="8" t="s">
        <v>614</v>
      </c>
      <c r="B15" t="s">
        <v>623</v>
      </c>
    </row>
    <row r="16" spans="1:2" x14ac:dyDescent="0.25">
      <c r="A16" s="8" t="s">
        <v>615</v>
      </c>
      <c r="B16" t="s">
        <v>624</v>
      </c>
    </row>
    <row r="17" spans="1:2" x14ac:dyDescent="0.25">
      <c r="A17" s="61" t="s">
        <v>616</v>
      </c>
      <c r="B17" t="s">
        <v>617</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0417A-C921-4D63-9291-4AFB116B9F2D}">
  <sheetPr>
    <tabColor theme="9"/>
  </sheetPr>
  <dimension ref="A1:I5"/>
  <sheetViews>
    <sheetView workbookViewId="0">
      <selection activeCell="B5" sqref="B5"/>
    </sheetView>
  </sheetViews>
  <sheetFormatPr baseColWidth="10" defaultRowHeight="15" x14ac:dyDescent="0.25"/>
  <sheetData>
    <row r="1" spans="1:9" x14ac:dyDescent="0.25">
      <c r="A1" s="1" t="s">
        <v>61</v>
      </c>
      <c r="F1" s="1" t="s">
        <v>62</v>
      </c>
    </row>
    <row r="2" spans="1:9" x14ac:dyDescent="0.25">
      <c r="A2" s="20" t="s">
        <v>278</v>
      </c>
      <c r="B2" s="23" t="s">
        <v>1</v>
      </c>
      <c r="C2" s="23" t="s">
        <v>22</v>
      </c>
      <c r="D2" s="23" t="s">
        <v>29</v>
      </c>
      <c r="E2" s="23" t="s">
        <v>587</v>
      </c>
      <c r="F2" s="24" t="s">
        <v>483</v>
      </c>
      <c r="G2" s="24" t="s">
        <v>605</v>
      </c>
      <c r="H2" s="24" t="s">
        <v>604</v>
      </c>
      <c r="I2" s="24" t="s">
        <v>464</v>
      </c>
    </row>
    <row r="3" spans="1:9" x14ac:dyDescent="0.25">
      <c r="A3" s="16" t="s">
        <v>3</v>
      </c>
      <c r="B3" s="17" t="s">
        <v>59</v>
      </c>
      <c r="C3" s="17" t="s">
        <v>58</v>
      </c>
      <c r="D3" s="17"/>
      <c r="E3" s="17" t="s">
        <v>588</v>
      </c>
      <c r="F3" s="19">
        <v>48.4</v>
      </c>
      <c r="G3" s="59">
        <f>$F$3</f>
        <v>48.4</v>
      </c>
      <c r="H3" s="59">
        <f t="shared" ref="H3:I3" si="0">$F$3</f>
        <v>48.4</v>
      </c>
      <c r="I3" s="59">
        <f t="shared" si="0"/>
        <v>48.4</v>
      </c>
    </row>
    <row r="4" spans="1:9" x14ac:dyDescent="0.25">
      <c r="A4" s="16" t="s">
        <v>4</v>
      </c>
      <c r="B4" s="17" t="s">
        <v>60</v>
      </c>
      <c r="C4" s="17" t="s">
        <v>58</v>
      </c>
      <c r="D4" s="17"/>
      <c r="E4" s="17" t="s">
        <v>588</v>
      </c>
      <c r="F4" s="19">
        <v>11.738</v>
      </c>
      <c r="G4" s="59">
        <f>$F$4</f>
        <v>11.738</v>
      </c>
      <c r="H4" s="59">
        <f t="shared" ref="H4:I4" si="1">$F$4</f>
        <v>11.738</v>
      </c>
      <c r="I4" s="59">
        <f t="shared" si="1"/>
        <v>11.738</v>
      </c>
    </row>
    <row r="5" spans="1:9" x14ac:dyDescent="0.25">
      <c r="A5" s="16" t="s">
        <v>55</v>
      </c>
      <c r="B5" s="17" t="s">
        <v>56</v>
      </c>
      <c r="C5" s="17" t="s">
        <v>31</v>
      </c>
      <c r="D5" s="17" t="s">
        <v>57</v>
      </c>
      <c r="E5" s="17" t="s">
        <v>588</v>
      </c>
      <c r="F5" s="19">
        <v>-13.5</v>
      </c>
      <c r="G5" s="59">
        <f>$F$5</f>
        <v>-13.5</v>
      </c>
      <c r="H5" s="59">
        <f t="shared" ref="H5:I5" si="2">$F$5</f>
        <v>-13.5</v>
      </c>
      <c r="I5" s="59">
        <f t="shared" si="2"/>
        <v>-13.5</v>
      </c>
    </row>
  </sheetData>
  <hyperlinks>
    <hyperlink ref="D5" r:id="rId1" xr:uid="{5A58314D-BF41-4F8D-832B-07CA6EA0B40D}"/>
  </hyperlinks>
  <pageMargins left="0.7" right="0.7" top="0.78740157499999996" bottom="0.78740157499999996" header="0.3" footer="0.3"/>
  <pageSetup paperSize="9" orientation="portrait" horizontalDpi="30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63708-4998-4D1F-BECD-60B7794BBD1D}">
  <sheetPr>
    <tabColor theme="9"/>
  </sheetPr>
  <dimension ref="A1:U48"/>
  <sheetViews>
    <sheetView topLeftCell="A39" workbookViewId="0">
      <selection activeCell="B17" sqref="B17"/>
    </sheetView>
  </sheetViews>
  <sheetFormatPr baseColWidth="10" defaultRowHeight="15" x14ac:dyDescent="0.25"/>
  <cols>
    <col min="1" max="1" width="22.5703125" customWidth="1"/>
    <col min="2" max="2" width="49.28515625" customWidth="1"/>
    <col min="4" max="4" width="11.42578125" customWidth="1"/>
    <col min="8" max="8" width="13.7109375" customWidth="1"/>
  </cols>
  <sheetData>
    <row r="1" spans="1:21" x14ac:dyDescent="0.25">
      <c r="A1" s="1" t="str">
        <f>Location!A1</f>
        <v>PARAMETERS</v>
      </c>
      <c r="B1" s="1"/>
      <c r="C1" s="1"/>
      <c r="D1" s="1"/>
      <c r="E1" s="1"/>
      <c r="F1" s="1" t="str">
        <f>Location!F1</f>
        <v>SCENARIO VALUES</v>
      </c>
      <c r="G1" s="1"/>
      <c r="H1" s="1"/>
      <c r="I1" s="1"/>
    </row>
    <row r="2" spans="1:21" s="1" customFormat="1" x14ac:dyDescent="0.25">
      <c r="A2" s="20" t="s">
        <v>0</v>
      </c>
      <c r="B2" s="23" t="s">
        <v>1</v>
      </c>
      <c r="C2" s="23" t="s">
        <v>22</v>
      </c>
      <c r="D2" s="23" t="s">
        <v>29</v>
      </c>
      <c r="E2" s="23" t="s">
        <v>587</v>
      </c>
      <c r="F2" s="24" t="str">
        <f>Location!F2</f>
        <v>BAU</v>
      </c>
      <c r="G2" s="24" t="str">
        <f>Location!G2</f>
        <v>PV + WP</v>
      </c>
      <c r="H2" s="24" t="str">
        <f>Location!H2</f>
        <v>Refurbished</v>
      </c>
      <c r="I2" s="24" t="str">
        <f>Location!I2</f>
        <v>Flex</v>
      </c>
      <c r="P2" s="50" t="s">
        <v>471</v>
      </c>
      <c r="S2" s="50"/>
      <c r="T2" s="53">
        <f>F17/'Building Data'!F5</f>
        <v>148.64864864864865</v>
      </c>
      <c r="U2" s="50"/>
    </row>
    <row r="3" spans="1:21" x14ac:dyDescent="0.25">
      <c r="A3" s="3" t="s">
        <v>13</v>
      </c>
      <c r="P3" s="50" t="s">
        <v>472</v>
      </c>
      <c r="Q3" s="49"/>
      <c r="R3" s="49"/>
      <c r="S3" s="49"/>
      <c r="T3" s="54" t="str">
        <f>IF(T2&lt;30,"A+",
IF(T2&lt;50,"A",
IF(T2&lt;75,"B",
IF(T2&lt;100,"C",
IF(T2&lt;130,"D",
IF(T2&lt;160,"E",
IF(T2&lt;200,"F",
IF(T2&lt;250,"G",
"H"))))))))</f>
        <v>E</v>
      </c>
      <c r="U3" s="49"/>
    </row>
    <row r="4" spans="1:21" x14ac:dyDescent="0.25">
      <c r="A4" s="16" t="s">
        <v>2</v>
      </c>
      <c r="B4" s="17" t="s">
        <v>14</v>
      </c>
      <c r="C4" s="17"/>
      <c r="D4" s="17" t="s">
        <v>30</v>
      </c>
      <c r="E4" s="17" t="s">
        <v>588</v>
      </c>
      <c r="F4" s="19">
        <v>4</v>
      </c>
      <c r="G4" s="19">
        <v>4</v>
      </c>
      <c r="H4" s="19">
        <v>4</v>
      </c>
      <c r="I4" s="19">
        <v>4</v>
      </c>
      <c r="P4" s="49"/>
      <c r="Q4" s="49"/>
      <c r="R4" s="49"/>
      <c r="S4" s="49"/>
      <c r="T4" s="49"/>
      <c r="U4" s="49"/>
    </row>
    <row r="5" spans="1:21" x14ac:dyDescent="0.25">
      <c r="A5" s="16" t="s">
        <v>11</v>
      </c>
      <c r="B5" s="17" t="s">
        <v>15</v>
      </c>
      <c r="C5" s="17"/>
      <c r="D5" s="17" t="s">
        <v>30</v>
      </c>
      <c r="E5" s="17" t="s">
        <v>588</v>
      </c>
      <c r="F5" s="19">
        <v>8</v>
      </c>
      <c r="G5" s="19">
        <v>8</v>
      </c>
      <c r="H5" s="19">
        <v>8</v>
      </c>
      <c r="I5" s="19">
        <v>8</v>
      </c>
      <c r="P5" s="49"/>
      <c r="Q5" s="49"/>
      <c r="R5" s="49"/>
      <c r="S5" s="49"/>
      <c r="T5" s="49"/>
      <c r="U5" s="49"/>
    </row>
    <row r="6" spans="1:21" x14ac:dyDescent="0.25">
      <c r="A6" s="3" t="s">
        <v>12</v>
      </c>
      <c r="P6" s="49"/>
      <c r="Q6" s="49"/>
      <c r="R6" s="49"/>
      <c r="S6" s="49"/>
      <c r="T6" s="49"/>
      <c r="U6" s="49"/>
    </row>
    <row r="7" spans="1:21" x14ac:dyDescent="0.25">
      <c r="A7" s="16" t="s">
        <v>522</v>
      </c>
      <c r="B7" s="17" t="s">
        <v>602</v>
      </c>
      <c r="C7" s="17" t="s">
        <v>387</v>
      </c>
      <c r="D7" s="17"/>
      <c r="E7" s="17" t="s">
        <v>588</v>
      </c>
      <c r="F7" s="19">
        <v>30</v>
      </c>
      <c r="G7" s="19">
        <v>30</v>
      </c>
      <c r="H7" s="19">
        <v>30</v>
      </c>
      <c r="I7" s="19">
        <v>30</v>
      </c>
      <c r="P7" s="49"/>
      <c r="Q7" s="49"/>
      <c r="R7" s="49"/>
      <c r="S7" s="49"/>
      <c r="T7" s="49"/>
      <c r="U7" s="49"/>
    </row>
    <row r="8" spans="1:21" x14ac:dyDescent="0.25">
      <c r="A8" s="16" t="s">
        <v>16</v>
      </c>
      <c r="B8" s="17" t="s">
        <v>27</v>
      </c>
      <c r="C8" s="17" t="s">
        <v>23</v>
      </c>
      <c r="D8" s="17" t="s">
        <v>30</v>
      </c>
      <c r="E8" s="17" t="s">
        <v>588</v>
      </c>
      <c r="F8" s="19">
        <v>8000</v>
      </c>
      <c r="G8" s="19">
        <v>8000</v>
      </c>
      <c r="H8" s="19">
        <v>8000</v>
      </c>
      <c r="I8" s="19">
        <v>8000</v>
      </c>
      <c r="P8" s="49"/>
      <c r="Q8" s="49"/>
      <c r="R8" s="49"/>
      <c r="S8" s="49"/>
      <c r="T8" s="49"/>
      <c r="U8" s="49"/>
    </row>
    <row r="9" spans="1:21" x14ac:dyDescent="0.25">
      <c r="A9" s="20" t="s">
        <v>485</v>
      </c>
      <c r="B9" s="17" t="s">
        <v>489</v>
      </c>
      <c r="C9" s="17" t="s">
        <v>40</v>
      </c>
      <c r="D9" s="17" t="s">
        <v>30</v>
      </c>
      <c r="E9" s="17" t="s">
        <v>588</v>
      </c>
      <c r="F9" s="56">
        <v>2</v>
      </c>
      <c r="G9" s="56">
        <v>2</v>
      </c>
      <c r="H9" s="56">
        <v>2</v>
      </c>
      <c r="I9" s="56">
        <v>2</v>
      </c>
      <c r="P9" s="49"/>
      <c r="Q9" s="49"/>
      <c r="R9" s="49"/>
      <c r="S9" s="55" t="s">
        <v>473</v>
      </c>
      <c r="T9" s="55">
        <v>30</v>
      </c>
      <c r="U9" s="49"/>
    </row>
    <row r="10" spans="1:21" x14ac:dyDescent="0.25">
      <c r="A10" s="20" t="s">
        <v>486</v>
      </c>
      <c r="B10" s="17" t="s">
        <v>490</v>
      </c>
      <c r="C10" s="17" t="s">
        <v>40</v>
      </c>
      <c r="D10" s="17" t="s">
        <v>30</v>
      </c>
      <c r="E10" s="17" t="s">
        <v>588</v>
      </c>
      <c r="F10" s="56">
        <v>0</v>
      </c>
      <c r="G10" s="56">
        <v>0</v>
      </c>
      <c r="H10" s="56">
        <v>0</v>
      </c>
      <c r="I10" s="56">
        <v>0</v>
      </c>
      <c r="P10" s="49"/>
      <c r="Q10" s="49"/>
      <c r="R10" s="49"/>
      <c r="S10" s="55" t="s">
        <v>474</v>
      </c>
      <c r="T10" s="55">
        <v>50</v>
      </c>
      <c r="U10" s="49"/>
    </row>
    <row r="11" spans="1:21" x14ac:dyDescent="0.25">
      <c r="A11" s="20" t="s">
        <v>487</v>
      </c>
      <c r="B11" s="17" t="s">
        <v>491</v>
      </c>
      <c r="C11" s="17" t="s">
        <v>40</v>
      </c>
      <c r="D11" s="17" t="s">
        <v>30</v>
      </c>
      <c r="E11" s="17" t="s">
        <v>588</v>
      </c>
      <c r="F11" s="56">
        <v>1</v>
      </c>
      <c r="G11" s="56">
        <v>1</v>
      </c>
      <c r="H11" s="56">
        <v>1</v>
      </c>
      <c r="I11" s="56">
        <v>1</v>
      </c>
      <c r="P11" s="49"/>
      <c r="Q11" s="49"/>
      <c r="R11" s="49"/>
      <c r="S11" s="55" t="s">
        <v>475</v>
      </c>
      <c r="T11" s="55">
        <v>75</v>
      </c>
      <c r="U11" s="49"/>
    </row>
    <row r="12" spans="1:21" x14ac:dyDescent="0.25">
      <c r="A12" s="20" t="s">
        <v>488</v>
      </c>
      <c r="B12" s="17" t="s">
        <v>492</v>
      </c>
      <c r="C12" s="17" t="s">
        <v>40</v>
      </c>
      <c r="D12" s="17" t="s">
        <v>30</v>
      </c>
      <c r="E12" s="17" t="s">
        <v>588</v>
      </c>
      <c r="F12" s="56">
        <v>1</v>
      </c>
      <c r="G12" s="56">
        <v>1</v>
      </c>
      <c r="H12" s="56">
        <v>1</v>
      </c>
      <c r="I12" s="56">
        <v>1</v>
      </c>
      <c r="P12" s="49"/>
      <c r="Q12" s="49"/>
      <c r="R12" s="49"/>
      <c r="S12" s="55" t="s">
        <v>476</v>
      </c>
      <c r="T12" s="55">
        <v>100</v>
      </c>
      <c r="U12" s="49"/>
    </row>
    <row r="13" spans="1:21" x14ac:dyDescent="0.25">
      <c r="A13" s="3" t="s">
        <v>17</v>
      </c>
      <c r="P13" s="49"/>
      <c r="Q13" s="49"/>
      <c r="R13" s="49"/>
      <c r="S13" s="55" t="s">
        <v>477</v>
      </c>
      <c r="T13" s="55">
        <v>130</v>
      </c>
      <c r="U13" s="49"/>
    </row>
    <row r="14" spans="1:21" x14ac:dyDescent="0.25">
      <c r="A14" s="20" t="s">
        <v>18</v>
      </c>
      <c r="B14" s="17" t="s">
        <v>26</v>
      </c>
      <c r="C14" s="17" t="s">
        <v>24</v>
      </c>
      <c r="D14" s="17" t="s">
        <v>30</v>
      </c>
      <c r="E14" s="17" t="s">
        <v>588</v>
      </c>
      <c r="F14" s="22">
        <v>40</v>
      </c>
      <c r="G14" s="22">
        <v>40</v>
      </c>
      <c r="H14" s="22">
        <v>40</v>
      </c>
      <c r="I14" s="22">
        <v>40</v>
      </c>
      <c r="P14" s="49"/>
      <c r="Q14" s="49"/>
      <c r="R14" s="49"/>
      <c r="S14" s="55" t="s">
        <v>478</v>
      </c>
      <c r="T14" s="55">
        <v>160</v>
      </c>
      <c r="U14" s="49"/>
    </row>
    <row r="15" spans="1:21" x14ac:dyDescent="0.25">
      <c r="A15" s="20" t="s">
        <v>32</v>
      </c>
      <c r="B15" s="17" t="s">
        <v>33</v>
      </c>
      <c r="C15" s="17" t="s">
        <v>31</v>
      </c>
      <c r="D15" s="17" t="s">
        <v>34</v>
      </c>
      <c r="E15" s="17" t="s">
        <v>588</v>
      </c>
      <c r="F15" s="32">
        <v>65</v>
      </c>
      <c r="G15" s="32">
        <v>65</v>
      </c>
      <c r="H15" s="32">
        <v>65</v>
      </c>
      <c r="I15" s="32">
        <v>65</v>
      </c>
      <c r="P15" s="49"/>
      <c r="Q15" s="49"/>
      <c r="R15" s="49"/>
      <c r="S15" s="55" t="s">
        <v>479</v>
      </c>
      <c r="T15" s="55">
        <v>200</v>
      </c>
      <c r="U15" s="49"/>
    </row>
    <row r="16" spans="1:21" x14ac:dyDescent="0.25">
      <c r="A16" s="3" t="s">
        <v>19</v>
      </c>
      <c r="F16" s="2"/>
      <c r="G16" s="2"/>
      <c r="H16" s="2"/>
      <c r="I16" s="2"/>
      <c r="P16" s="49"/>
      <c r="Q16" s="49"/>
      <c r="R16" s="49"/>
      <c r="S16" s="55" t="s">
        <v>480</v>
      </c>
      <c r="T16" s="55">
        <v>250</v>
      </c>
      <c r="U16" s="49"/>
    </row>
    <row r="17" spans="1:21" x14ac:dyDescent="0.25">
      <c r="A17" s="16" t="s">
        <v>21</v>
      </c>
      <c r="B17" s="17" t="s">
        <v>28</v>
      </c>
      <c r="C17" s="17" t="s">
        <v>23</v>
      </c>
      <c r="D17" s="17" t="s">
        <v>600</v>
      </c>
      <c r="E17" s="17" t="s">
        <v>588</v>
      </c>
      <c r="F17" s="19">
        <v>55000</v>
      </c>
      <c r="G17" s="19">
        <v>55000</v>
      </c>
      <c r="H17" s="19">
        <v>55000</v>
      </c>
      <c r="I17" s="19">
        <v>55000</v>
      </c>
      <c r="P17" s="49"/>
      <c r="Q17" s="51"/>
      <c r="R17" s="51"/>
      <c r="S17" s="55" t="s">
        <v>481</v>
      </c>
      <c r="T17" s="55">
        <v>300</v>
      </c>
      <c r="U17" s="49"/>
    </row>
    <row r="18" spans="1:21" x14ac:dyDescent="0.25">
      <c r="A18" s="20" t="s">
        <v>5</v>
      </c>
      <c r="B18" s="17" t="s">
        <v>20</v>
      </c>
      <c r="C18" s="17" t="s">
        <v>31</v>
      </c>
      <c r="D18" s="17" t="s">
        <v>30</v>
      </c>
      <c r="E18" s="17" t="s">
        <v>588</v>
      </c>
      <c r="F18" s="22">
        <v>20</v>
      </c>
      <c r="G18" s="22">
        <v>20</v>
      </c>
      <c r="H18" s="22">
        <v>20</v>
      </c>
      <c r="I18" s="22">
        <v>20</v>
      </c>
      <c r="P18" s="49"/>
      <c r="Q18" s="51"/>
      <c r="R18" s="51"/>
      <c r="S18" s="55"/>
      <c r="T18" s="55"/>
      <c r="U18" s="49"/>
    </row>
    <row r="19" spans="1:21" x14ac:dyDescent="0.25">
      <c r="A19" s="20" t="s">
        <v>577</v>
      </c>
      <c r="B19" s="17" t="s">
        <v>578</v>
      </c>
      <c r="C19" s="17" t="s">
        <v>31</v>
      </c>
      <c r="D19" s="17" t="s">
        <v>579</v>
      </c>
      <c r="E19" s="17" t="s">
        <v>588</v>
      </c>
      <c r="F19" s="22">
        <v>16</v>
      </c>
      <c r="G19" s="22">
        <v>16</v>
      </c>
      <c r="H19" s="22">
        <v>16</v>
      </c>
      <c r="I19" s="22">
        <v>16</v>
      </c>
      <c r="P19" s="49"/>
      <c r="Q19" s="51"/>
      <c r="R19" s="51"/>
      <c r="S19" s="49"/>
      <c r="T19" s="49"/>
      <c r="U19" s="49"/>
    </row>
    <row r="20" spans="1:21" x14ac:dyDescent="0.25">
      <c r="A20" s="20" t="s">
        <v>580</v>
      </c>
      <c r="B20" s="17" t="s">
        <v>581</v>
      </c>
      <c r="C20" s="17" t="s">
        <v>582</v>
      </c>
      <c r="D20" s="17" t="s">
        <v>583</v>
      </c>
      <c r="E20" s="17" t="s">
        <v>589</v>
      </c>
      <c r="F20" s="22" t="s">
        <v>575</v>
      </c>
      <c r="G20" s="22" t="s">
        <v>575</v>
      </c>
      <c r="H20" s="22" t="s">
        <v>575</v>
      </c>
      <c r="I20" s="22" t="s">
        <v>575</v>
      </c>
      <c r="P20" s="49"/>
      <c r="Q20" s="51"/>
      <c r="R20" s="51"/>
      <c r="S20" s="49"/>
      <c r="T20" s="49"/>
      <c r="U20" s="49"/>
    </row>
    <row r="21" spans="1:21" x14ac:dyDescent="0.25">
      <c r="A21" s="20" t="s">
        <v>584</v>
      </c>
      <c r="B21" s="17" t="s">
        <v>585</v>
      </c>
      <c r="C21" s="17" t="s">
        <v>31</v>
      </c>
      <c r="D21" s="17" t="s">
        <v>586</v>
      </c>
      <c r="E21" s="17" t="s">
        <v>588</v>
      </c>
      <c r="F21" s="22">
        <v>15</v>
      </c>
      <c r="G21" s="22">
        <v>15</v>
      </c>
      <c r="H21" s="22">
        <v>15</v>
      </c>
      <c r="I21" s="22">
        <v>15</v>
      </c>
      <c r="P21" s="49"/>
      <c r="Q21" s="51"/>
      <c r="R21" s="51"/>
      <c r="S21" s="49"/>
      <c r="T21" s="49"/>
      <c r="U21" s="49"/>
    </row>
    <row r="22" spans="1:21" x14ac:dyDescent="0.25">
      <c r="A22" s="20" t="s">
        <v>171</v>
      </c>
      <c r="B22" s="17" t="s">
        <v>172</v>
      </c>
      <c r="C22" s="17" t="s">
        <v>31</v>
      </c>
      <c r="D22" s="17" t="s">
        <v>173</v>
      </c>
      <c r="E22" s="17" t="s">
        <v>588</v>
      </c>
      <c r="F22" s="22">
        <v>0.5</v>
      </c>
      <c r="G22" s="22">
        <v>0.5</v>
      </c>
      <c r="H22" s="22">
        <v>0.5</v>
      </c>
      <c r="I22" s="22">
        <v>0.5</v>
      </c>
      <c r="P22" s="49"/>
      <c r="Q22" s="51"/>
      <c r="R22" s="51"/>
      <c r="S22" s="49"/>
      <c r="T22" s="49"/>
      <c r="U22" s="49"/>
    </row>
    <row r="23" spans="1:21" x14ac:dyDescent="0.25">
      <c r="A23" s="20" t="s">
        <v>165</v>
      </c>
      <c r="B23" s="17" t="s">
        <v>166</v>
      </c>
      <c r="C23" s="17" t="s">
        <v>31</v>
      </c>
      <c r="D23" s="17" t="s">
        <v>30</v>
      </c>
      <c r="E23" s="17" t="s">
        <v>588</v>
      </c>
      <c r="F23" s="22">
        <v>55</v>
      </c>
      <c r="G23" s="22">
        <v>55</v>
      </c>
      <c r="H23" s="22">
        <v>55</v>
      </c>
      <c r="I23" s="22">
        <v>55</v>
      </c>
      <c r="P23" s="49"/>
      <c r="Q23" s="51"/>
      <c r="R23" s="51"/>
      <c r="S23" s="49"/>
      <c r="T23" s="49"/>
      <c r="U23" s="49"/>
    </row>
    <row r="24" spans="1:21" x14ac:dyDescent="0.25">
      <c r="A24" s="3" t="s">
        <v>494</v>
      </c>
      <c r="L24" s="48"/>
      <c r="M24" s="48"/>
    </row>
    <row r="25" spans="1:21" x14ac:dyDescent="0.25">
      <c r="A25" s="58" t="s">
        <v>507</v>
      </c>
      <c r="B25" s="17" t="s">
        <v>505</v>
      </c>
      <c r="C25" s="17" t="s">
        <v>387</v>
      </c>
      <c r="D25" s="39" t="s">
        <v>506</v>
      </c>
      <c r="E25" s="17" t="s">
        <v>588</v>
      </c>
      <c r="F25" s="22">
        <v>20</v>
      </c>
      <c r="G25" s="22">
        <v>20</v>
      </c>
      <c r="H25" s="22">
        <v>20</v>
      </c>
      <c r="I25" s="22">
        <v>20</v>
      </c>
      <c r="L25" s="48"/>
      <c r="M25" s="48"/>
    </row>
    <row r="26" spans="1:21" ht="30" x14ac:dyDescent="0.25">
      <c r="A26" s="58" t="s">
        <v>508</v>
      </c>
      <c r="B26" s="18" t="s">
        <v>501</v>
      </c>
      <c r="C26" s="17"/>
      <c r="D26" s="39" t="s">
        <v>506</v>
      </c>
      <c r="E26" s="17" t="s">
        <v>589</v>
      </c>
      <c r="F26" s="57" t="s">
        <v>504</v>
      </c>
      <c r="G26" s="57" t="s">
        <v>504</v>
      </c>
      <c r="H26" s="57" t="s">
        <v>504</v>
      </c>
      <c r="I26" s="57" t="s">
        <v>504</v>
      </c>
      <c r="L26" s="48"/>
      <c r="M26" s="48"/>
    </row>
    <row r="27" spans="1:21" x14ac:dyDescent="0.25">
      <c r="A27" s="58" t="s">
        <v>509</v>
      </c>
      <c r="B27" s="17" t="s">
        <v>495</v>
      </c>
      <c r="C27" s="17" t="s">
        <v>502</v>
      </c>
      <c r="D27" s="39" t="s">
        <v>506</v>
      </c>
      <c r="E27" s="17" t="s">
        <v>588</v>
      </c>
      <c r="F27" s="22">
        <v>50</v>
      </c>
      <c r="G27" s="22">
        <v>50</v>
      </c>
      <c r="H27" s="22">
        <v>50</v>
      </c>
      <c r="I27" s="22">
        <v>50</v>
      </c>
      <c r="L27" s="48"/>
      <c r="M27" s="48"/>
    </row>
    <row r="28" spans="1:21" x14ac:dyDescent="0.25">
      <c r="A28" s="58" t="s">
        <v>531</v>
      </c>
      <c r="B28" s="17" t="s">
        <v>503</v>
      </c>
      <c r="C28" s="17" t="s">
        <v>529</v>
      </c>
      <c r="D28" s="39" t="s">
        <v>506</v>
      </c>
      <c r="E28" s="17" t="s">
        <v>588</v>
      </c>
      <c r="F28" s="22">
        <v>20</v>
      </c>
      <c r="G28" s="22">
        <v>20</v>
      </c>
      <c r="H28" s="22">
        <v>20</v>
      </c>
      <c r="I28" s="22">
        <v>20</v>
      </c>
    </row>
    <row r="29" spans="1:21" x14ac:dyDescent="0.25">
      <c r="A29" s="58" t="s">
        <v>510</v>
      </c>
      <c r="B29" s="17" t="s">
        <v>601</v>
      </c>
      <c r="C29" s="17" t="s">
        <v>526</v>
      </c>
      <c r="D29" s="39" t="s">
        <v>506</v>
      </c>
      <c r="E29" s="17" t="s">
        <v>589</v>
      </c>
      <c r="F29" s="57" t="s">
        <v>527</v>
      </c>
      <c r="G29" s="57" t="s">
        <v>527</v>
      </c>
      <c r="H29" s="57" t="s">
        <v>527</v>
      </c>
      <c r="I29" s="57" t="s">
        <v>527</v>
      </c>
    </row>
    <row r="30" spans="1:21" ht="45" x14ac:dyDescent="0.25">
      <c r="A30" s="58" t="s">
        <v>511</v>
      </c>
      <c r="B30" s="18" t="s">
        <v>500</v>
      </c>
      <c r="C30" s="17"/>
      <c r="D30" s="39" t="s">
        <v>506</v>
      </c>
      <c r="E30" s="17" t="s">
        <v>589</v>
      </c>
      <c r="F30" s="22" t="s">
        <v>499</v>
      </c>
      <c r="G30" s="22" t="s">
        <v>499</v>
      </c>
      <c r="H30" s="22" t="s">
        <v>499</v>
      </c>
      <c r="I30" s="22" t="s">
        <v>499</v>
      </c>
    </row>
    <row r="31" spans="1:21" x14ac:dyDescent="0.25">
      <c r="A31" s="58" t="s">
        <v>512</v>
      </c>
      <c r="B31" s="17" t="s">
        <v>505</v>
      </c>
      <c r="C31" s="17" t="s">
        <v>387</v>
      </c>
      <c r="D31" s="39" t="s">
        <v>506</v>
      </c>
      <c r="E31" s="17" t="s">
        <v>588</v>
      </c>
      <c r="F31" s="22">
        <v>20</v>
      </c>
      <c r="G31" s="22">
        <v>20</v>
      </c>
      <c r="H31" s="22">
        <v>20</v>
      </c>
      <c r="I31" s="22">
        <v>20</v>
      </c>
    </row>
    <row r="32" spans="1:21" ht="30" x14ac:dyDescent="0.25">
      <c r="A32" s="58" t="s">
        <v>513</v>
      </c>
      <c r="B32" s="18" t="s">
        <v>501</v>
      </c>
      <c r="C32" s="17"/>
      <c r="D32" s="39" t="s">
        <v>506</v>
      </c>
      <c r="E32" s="17" t="s">
        <v>589</v>
      </c>
      <c r="F32" s="57" t="s">
        <v>504</v>
      </c>
      <c r="G32" s="57" t="s">
        <v>504</v>
      </c>
      <c r="H32" s="57" t="s">
        <v>504</v>
      </c>
      <c r="I32" s="57" t="s">
        <v>504</v>
      </c>
    </row>
    <row r="33" spans="1:9" x14ac:dyDescent="0.25">
      <c r="A33" s="58" t="s">
        <v>514</v>
      </c>
      <c r="B33" s="17" t="s">
        <v>495</v>
      </c>
      <c r="C33" s="17" t="s">
        <v>502</v>
      </c>
      <c r="D33" s="39" t="s">
        <v>506</v>
      </c>
      <c r="E33" s="17" t="s">
        <v>588</v>
      </c>
      <c r="F33" s="22">
        <v>50</v>
      </c>
      <c r="G33" s="22">
        <v>50</v>
      </c>
      <c r="H33" s="22">
        <v>50</v>
      </c>
      <c r="I33" s="22">
        <v>50</v>
      </c>
    </row>
    <row r="34" spans="1:9" x14ac:dyDescent="0.25">
      <c r="A34" s="58" t="s">
        <v>530</v>
      </c>
      <c r="B34" s="17" t="s">
        <v>503</v>
      </c>
      <c r="C34" s="17" t="s">
        <v>529</v>
      </c>
      <c r="D34" s="39" t="s">
        <v>506</v>
      </c>
      <c r="E34" s="17" t="s">
        <v>588</v>
      </c>
      <c r="F34" s="22">
        <v>20</v>
      </c>
      <c r="G34" s="22">
        <v>20</v>
      </c>
      <c r="H34" s="22">
        <v>20</v>
      </c>
      <c r="I34" s="22">
        <v>20</v>
      </c>
    </row>
    <row r="35" spans="1:9" x14ac:dyDescent="0.25">
      <c r="A35" s="58" t="s">
        <v>515</v>
      </c>
      <c r="B35" s="17" t="s">
        <v>601</v>
      </c>
      <c r="C35" s="17" t="s">
        <v>526</v>
      </c>
      <c r="D35" s="39" t="s">
        <v>506</v>
      </c>
      <c r="E35" s="17" t="s">
        <v>589</v>
      </c>
      <c r="F35" s="57">
        <v>6</v>
      </c>
      <c r="G35" s="57">
        <v>6</v>
      </c>
      <c r="H35" s="57">
        <v>6</v>
      </c>
      <c r="I35" s="57">
        <v>6</v>
      </c>
    </row>
    <row r="36" spans="1:9" ht="45" x14ac:dyDescent="0.25">
      <c r="A36" s="58" t="s">
        <v>516</v>
      </c>
      <c r="B36" s="18" t="s">
        <v>500</v>
      </c>
      <c r="C36" s="17"/>
      <c r="D36" s="39" t="s">
        <v>506</v>
      </c>
      <c r="E36" s="17" t="s">
        <v>589</v>
      </c>
      <c r="F36" s="22" t="s">
        <v>497</v>
      </c>
      <c r="G36" s="22" t="s">
        <v>497</v>
      </c>
      <c r="H36" s="22" t="s">
        <v>497</v>
      </c>
      <c r="I36" s="22" t="s">
        <v>497</v>
      </c>
    </row>
    <row r="37" spans="1:9" x14ac:dyDescent="0.25">
      <c r="A37" s="58" t="s">
        <v>517</v>
      </c>
      <c r="B37" s="17" t="s">
        <v>505</v>
      </c>
      <c r="C37" s="17" t="s">
        <v>387</v>
      </c>
      <c r="D37" s="39" t="s">
        <v>506</v>
      </c>
      <c r="E37" s="17" t="s">
        <v>588</v>
      </c>
      <c r="F37" s="22">
        <v>20</v>
      </c>
      <c r="G37" s="22">
        <v>20</v>
      </c>
      <c r="H37" s="22">
        <v>20</v>
      </c>
      <c r="I37" s="22">
        <v>20</v>
      </c>
    </row>
    <row r="38" spans="1:9" ht="30" x14ac:dyDescent="0.25">
      <c r="A38" s="58" t="s">
        <v>518</v>
      </c>
      <c r="B38" s="18" t="s">
        <v>501</v>
      </c>
      <c r="C38" s="17"/>
      <c r="D38" s="39" t="s">
        <v>506</v>
      </c>
      <c r="E38" s="17" t="s">
        <v>589</v>
      </c>
      <c r="F38" s="57" t="s">
        <v>504</v>
      </c>
      <c r="G38" s="57" t="s">
        <v>504</v>
      </c>
      <c r="H38" s="57" t="s">
        <v>504</v>
      </c>
      <c r="I38" s="57" t="s">
        <v>504</v>
      </c>
    </row>
    <row r="39" spans="1:9" x14ac:dyDescent="0.25">
      <c r="A39" s="58" t="s">
        <v>519</v>
      </c>
      <c r="B39" s="17" t="s">
        <v>495</v>
      </c>
      <c r="C39" s="17" t="s">
        <v>502</v>
      </c>
      <c r="D39" s="39" t="s">
        <v>506</v>
      </c>
      <c r="E39" s="17" t="s">
        <v>588</v>
      </c>
      <c r="F39" s="22">
        <v>50</v>
      </c>
      <c r="G39" s="22">
        <v>50</v>
      </c>
      <c r="H39" s="22">
        <v>50</v>
      </c>
      <c r="I39" s="22">
        <v>50</v>
      </c>
    </row>
    <row r="40" spans="1:9" x14ac:dyDescent="0.25">
      <c r="A40" s="58" t="s">
        <v>532</v>
      </c>
      <c r="B40" s="17" t="s">
        <v>503</v>
      </c>
      <c r="C40" s="17" t="s">
        <v>529</v>
      </c>
      <c r="D40" s="39" t="s">
        <v>506</v>
      </c>
      <c r="E40" s="17" t="s">
        <v>588</v>
      </c>
      <c r="F40" s="22">
        <v>20</v>
      </c>
      <c r="G40" s="22">
        <v>20</v>
      </c>
      <c r="H40" s="22">
        <v>20</v>
      </c>
      <c r="I40" s="22">
        <v>20</v>
      </c>
    </row>
    <row r="41" spans="1:9" x14ac:dyDescent="0.25">
      <c r="A41" s="58" t="s">
        <v>520</v>
      </c>
      <c r="B41" s="17" t="s">
        <v>601</v>
      </c>
      <c r="C41" s="17" t="s">
        <v>526</v>
      </c>
      <c r="D41" s="39" t="s">
        <v>506</v>
      </c>
      <c r="E41" s="17" t="s">
        <v>589</v>
      </c>
      <c r="F41" s="22" t="s">
        <v>528</v>
      </c>
      <c r="G41" s="22" t="s">
        <v>528</v>
      </c>
      <c r="H41" s="22" t="s">
        <v>528</v>
      </c>
      <c r="I41" s="22" t="s">
        <v>528</v>
      </c>
    </row>
    <row r="42" spans="1:9" ht="45" x14ac:dyDescent="0.25">
      <c r="A42" s="58" t="s">
        <v>521</v>
      </c>
      <c r="B42" s="18" t="s">
        <v>500</v>
      </c>
      <c r="C42" s="17"/>
      <c r="D42" s="39" t="s">
        <v>506</v>
      </c>
      <c r="E42" s="17" t="s">
        <v>589</v>
      </c>
      <c r="F42" s="22" t="s">
        <v>498</v>
      </c>
      <c r="G42" s="22" t="s">
        <v>498</v>
      </c>
      <c r="H42" s="22" t="s">
        <v>498</v>
      </c>
      <c r="I42" s="22" t="s">
        <v>498</v>
      </c>
    </row>
    <row r="43" spans="1:9" x14ac:dyDescent="0.25">
      <c r="A43" s="58"/>
      <c r="B43" s="17"/>
      <c r="C43" s="17"/>
      <c r="D43" s="39"/>
      <c r="E43" s="17"/>
      <c r="F43" s="22"/>
      <c r="G43" s="22"/>
      <c r="H43" s="22"/>
      <c r="I43" s="22"/>
    </row>
    <row r="44" spans="1:9" x14ac:dyDescent="0.25">
      <c r="A44" s="58"/>
      <c r="B44" s="18"/>
      <c r="C44" s="17"/>
      <c r="D44" s="39"/>
      <c r="E44" s="17"/>
      <c r="F44" s="57"/>
      <c r="G44" s="57"/>
      <c r="H44" s="57"/>
      <c r="I44" s="57"/>
    </row>
    <row r="45" spans="1:9" x14ac:dyDescent="0.25">
      <c r="A45" s="58"/>
      <c r="B45" s="17"/>
      <c r="C45" s="17"/>
      <c r="D45" s="39"/>
      <c r="E45" s="17"/>
      <c r="F45" s="22"/>
      <c r="G45" s="22"/>
      <c r="H45" s="22"/>
      <c r="I45" s="22"/>
    </row>
    <row r="46" spans="1:9" x14ac:dyDescent="0.25">
      <c r="A46" s="58"/>
      <c r="B46" s="17"/>
      <c r="C46" s="17"/>
      <c r="D46" s="39"/>
      <c r="E46" s="17"/>
      <c r="F46" s="22"/>
      <c r="G46" s="22"/>
      <c r="H46" s="22"/>
      <c r="I46" s="22"/>
    </row>
    <row r="47" spans="1:9" x14ac:dyDescent="0.25">
      <c r="A47" s="58"/>
      <c r="B47" s="17"/>
      <c r="C47" s="17"/>
      <c r="D47" s="39"/>
      <c r="E47" s="17"/>
      <c r="F47" s="22"/>
      <c r="G47" s="22"/>
      <c r="H47" s="22"/>
      <c r="I47" s="22"/>
    </row>
    <row r="48" spans="1:9" x14ac:dyDescent="0.25">
      <c r="A48" s="58"/>
      <c r="B48" s="18"/>
      <c r="C48" s="17"/>
      <c r="D48" s="39"/>
      <c r="E48" s="17"/>
      <c r="F48" s="22"/>
      <c r="G48" s="22"/>
      <c r="H48" s="22"/>
      <c r="I48" s="22"/>
    </row>
  </sheetData>
  <phoneticPr fontId="5" type="noConversion"/>
  <conditionalFormatting sqref="S9:S18">
    <cfRule type="colorScale" priority="2">
      <colorScale>
        <cfvo type="min"/>
        <cfvo type="percentile" val="50"/>
        <cfvo type="max"/>
        <color rgb="FF63BE7B"/>
        <color rgb="FFFFEB84"/>
        <color rgb="FFF8696B"/>
      </colorScale>
    </cfRule>
  </conditionalFormatting>
  <conditionalFormatting sqref="T2:T18">
    <cfRule type="colorScale" priority="5">
      <colorScale>
        <cfvo type="min"/>
        <cfvo type="percentile" val="50"/>
        <cfvo type="max"/>
        <color rgb="FF92D050"/>
        <color rgb="FFFFC000"/>
        <color rgb="FFFF0000"/>
      </colorScale>
    </cfRule>
  </conditionalFormatting>
  <conditionalFormatting sqref="T3">
    <cfRule type="cellIs" dxfId="0" priority="4" operator="equal">
      <formula>"H"</formula>
    </cfRule>
  </conditionalFormatting>
  <pageMargins left="0.7" right="0.7" top="0.78740157499999996" bottom="0.78740157499999996" header="0.3" footer="0.3"/>
  <pageSetup paperSize="9" orientation="portrait" horizontalDpi="300" verticalDpi="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2574DB3-7F10-4DAC-AA89-0544121A26E7}">
          <x14:formula1>
            <xm:f>Definitions!$F$2:$F$4</xm:f>
          </x14:formula1>
          <xm:sqref>F36:I36 F42:I42 F48:I48 F30:I30</xm:sqref>
        </x14:dataValidation>
        <x14:dataValidation type="list" allowBlank="1" showInputMessage="1" showErrorMessage="1" xr:uid="{025C3F49-3F2C-401C-814E-C4E06F236E8D}">
          <x14:formula1>
            <xm:f>Definitions!$G$2:$G$4</xm:f>
          </x14:formula1>
          <xm:sqref>F14:I14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40B50-30AD-4D38-AB8C-3D1F1F490C0A}">
  <sheetPr>
    <tabColor theme="9"/>
  </sheetPr>
  <dimension ref="A1:I73"/>
  <sheetViews>
    <sheetView zoomScaleNormal="100" workbookViewId="0">
      <selection activeCell="F59" sqref="F59:I59"/>
    </sheetView>
  </sheetViews>
  <sheetFormatPr baseColWidth="10" defaultRowHeight="15" x14ac:dyDescent="0.25"/>
  <cols>
    <col min="1" max="1" width="31.140625" customWidth="1"/>
    <col min="2" max="2" width="48.28515625" customWidth="1"/>
    <col min="4" max="4" width="44.5703125" style="5" customWidth="1"/>
    <col min="5" max="5" width="9.140625" style="5" customWidth="1"/>
  </cols>
  <sheetData>
    <row r="1" spans="1:9" x14ac:dyDescent="0.25">
      <c r="A1" s="1" t="str">
        <f>Location!A1</f>
        <v>PARAMETERS</v>
      </c>
      <c r="B1" s="1"/>
      <c r="C1" s="1"/>
      <c r="D1" s="13"/>
      <c r="E1" s="13"/>
      <c r="F1" s="1" t="str">
        <f>Location!F1</f>
        <v>SCENARIO VALUES</v>
      </c>
      <c r="G1" s="1"/>
      <c r="H1" s="1"/>
      <c r="I1" s="1"/>
    </row>
    <row r="2" spans="1:9" x14ac:dyDescent="0.25">
      <c r="A2" s="20" t="s">
        <v>0</v>
      </c>
      <c r="B2" s="23" t="s">
        <v>1</v>
      </c>
      <c r="C2" s="23" t="s">
        <v>22</v>
      </c>
      <c r="D2" s="37" t="s">
        <v>29</v>
      </c>
      <c r="E2" s="37" t="s">
        <v>587</v>
      </c>
      <c r="F2" s="24" t="str">
        <f>Location!F2</f>
        <v>BAU</v>
      </c>
      <c r="G2" s="24" t="str">
        <f>Location!G2</f>
        <v>PV + WP</v>
      </c>
      <c r="H2" s="24" t="str">
        <f>Location!H2</f>
        <v>Refurbished</v>
      </c>
      <c r="I2" s="24" t="str">
        <f>Location!I2</f>
        <v>Flex</v>
      </c>
    </row>
    <row r="3" spans="1:9" s="4" customFormat="1" x14ac:dyDescent="0.25">
      <c r="A3" s="3" t="s">
        <v>79</v>
      </c>
      <c r="B3" s="3"/>
      <c r="C3" s="3"/>
      <c r="D3" s="14"/>
      <c r="E3" s="14"/>
      <c r="F3" s="3"/>
      <c r="G3" s="3"/>
      <c r="H3" s="3"/>
      <c r="I3" s="3"/>
    </row>
    <row r="4" spans="1:9" x14ac:dyDescent="0.25">
      <c r="A4" s="20" t="s">
        <v>37</v>
      </c>
      <c r="B4" s="17" t="s">
        <v>38</v>
      </c>
      <c r="C4" s="17" t="s">
        <v>40</v>
      </c>
      <c r="D4" s="18" t="s">
        <v>41</v>
      </c>
      <c r="E4" s="18" t="s">
        <v>589</v>
      </c>
      <c r="F4" s="22" t="s">
        <v>39</v>
      </c>
      <c r="G4" s="22" t="s">
        <v>39</v>
      </c>
      <c r="H4" s="22" t="s">
        <v>39</v>
      </c>
      <c r="I4" s="22" t="s">
        <v>39</v>
      </c>
    </row>
    <row r="5" spans="1:9" x14ac:dyDescent="0.25">
      <c r="A5" s="16" t="s">
        <v>8</v>
      </c>
      <c r="B5" s="17" t="s">
        <v>9</v>
      </c>
      <c r="C5" s="17" t="s">
        <v>66</v>
      </c>
      <c r="D5" s="18"/>
      <c r="E5" s="18" t="s">
        <v>588</v>
      </c>
      <c r="F5" s="19">
        <v>370</v>
      </c>
      <c r="G5" s="19">
        <v>370</v>
      </c>
      <c r="H5" s="19">
        <v>370</v>
      </c>
      <c r="I5" s="19">
        <v>370</v>
      </c>
    </row>
    <row r="6" spans="1:9" x14ac:dyDescent="0.25">
      <c r="A6" s="20" t="s">
        <v>10</v>
      </c>
      <c r="B6" s="17" t="s">
        <v>35</v>
      </c>
      <c r="C6" s="17" t="s">
        <v>36</v>
      </c>
      <c r="D6" s="18" t="s">
        <v>557</v>
      </c>
      <c r="E6" s="18" t="s">
        <v>588</v>
      </c>
      <c r="F6" s="38">
        <f>F5*2.6</f>
        <v>962</v>
      </c>
      <c r="G6" s="38">
        <f t="shared" ref="G6:I6" si="0">G5*2.6</f>
        <v>962</v>
      </c>
      <c r="H6" s="38">
        <f t="shared" si="0"/>
        <v>962</v>
      </c>
      <c r="I6" s="38">
        <f t="shared" si="0"/>
        <v>962</v>
      </c>
    </row>
    <row r="7" spans="1:9" ht="30" x14ac:dyDescent="0.25">
      <c r="A7" s="20" t="s">
        <v>43</v>
      </c>
      <c r="B7" s="17" t="s">
        <v>44</v>
      </c>
      <c r="C7" s="17" t="s">
        <v>419</v>
      </c>
      <c r="D7" s="18" t="s">
        <v>45</v>
      </c>
      <c r="E7" s="18" t="s">
        <v>588</v>
      </c>
      <c r="F7" s="22">
        <f>F6*(IF(F4="SFH",0.76,0.8))</f>
        <v>769.6</v>
      </c>
      <c r="G7" s="22">
        <f t="shared" ref="G7:I7" si="1">G6*(IF(G4="SFH",0.76,0.8))</f>
        <v>769.6</v>
      </c>
      <c r="H7" s="22">
        <f t="shared" si="1"/>
        <v>769.6</v>
      </c>
      <c r="I7" s="22">
        <f t="shared" si="1"/>
        <v>769.6</v>
      </c>
    </row>
    <row r="8" spans="1:9" x14ac:dyDescent="0.25">
      <c r="A8" s="16" t="s">
        <v>48</v>
      </c>
      <c r="B8" s="17" t="s">
        <v>50</v>
      </c>
      <c r="C8" s="17" t="s">
        <v>47</v>
      </c>
      <c r="D8" s="18"/>
      <c r="E8" s="18" t="s">
        <v>588</v>
      </c>
      <c r="F8" s="19">
        <v>0</v>
      </c>
      <c r="G8" s="19">
        <v>0</v>
      </c>
      <c r="H8" s="19">
        <v>0</v>
      </c>
      <c r="I8" s="19">
        <v>0</v>
      </c>
    </row>
    <row r="9" spans="1:9" x14ac:dyDescent="0.25">
      <c r="A9" s="20" t="s">
        <v>49</v>
      </c>
      <c r="B9" s="17" t="s">
        <v>51</v>
      </c>
      <c r="C9" s="17" t="s">
        <v>40</v>
      </c>
      <c r="D9" s="18"/>
      <c r="E9" s="18" t="s">
        <v>588</v>
      </c>
      <c r="F9" s="22">
        <v>0.8</v>
      </c>
      <c r="G9" s="22">
        <v>0.8</v>
      </c>
      <c r="H9" s="22">
        <v>0.8</v>
      </c>
      <c r="I9" s="22">
        <v>0.8</v>
      </c>
    </row>
    <row r="10" spans="1:9" x14ac:dyDescent="0.25">
      <c r="A10" s="20" t="s">
        <v>46</v>
      </c>
      <c r="B10" s="17" t="s">
        <v>53</v>
      </c>
      <c r="C10" s="17" t="s">
        <v>40</v>
      </c>
      <c r="D10" s="18"/>
      <c r="E10" s="18" t="s">
        <v>588</v>
      </c>
      <c r="F10" s="22">
        <f>IF(F8=1,0.4,0.5)*(1-IF(F8=1,F9,0)+0.04)</f>
        <v>0.52</v>
      </c>
      <c r="G10" s="22">
        <f t="shared" ref="G10:I10" si="2">IF(G8=1,0.4,0.5)*(1-IF(G8=1,G9,0)+0.04)</f>
        <v>0.52</v>
      </c>
      <c r="H10" s="22">
        <f t="shared" si="2"/>
        <v>0.52</v>
      </c>
      <c r="I10" s="22">
        <f t="shared" si="2"/>
        <v>0.52</v>
      </c>
    </row>
    <row r="11" spans="1:9" x14ac:dyDescent="0.25">
      <c r="A11" s="20" t="s">
        <v>52</v>
      </c>
      <c r="B11" s="17" t="s">
        <v>54</v>
      </c>
      <c r="C11" s="17" t="s">
        <v>387</v>
      </c>
      <c r="D11" s="18"/>
      <c r="E11" s="18" t="s">
        <v>588</v>
      </c>
      <c r="F11" s="22">
        <f>IF(F4="SFH",50,100)/24*F5/1000</f>
        <v>1.5416666666666667</v>
      </c>
      <c r="G11" s="22">
        <f t="shared" ref="G11:I11" si="3">IF(G4="SFH",50,100)/24*G5/1000</f>
        <v>1.5416666666666667</v>
      </c>
      <c r="H11" s="22">
        <f t="shared" si="3"/>
        <v>1.5416666666666667</v>
      </c>
      <c r="I11" s="22">
        <f t="shared" si="3"/>
        <v>1.5416666666666667</v>
      </c>
    </row>
    <row r="12" spans="1:9" x14ac:dyDescent="0.25">
      <c r="A12" s="16" t="s">
        <v>167</v>
      </c>
      <c r="B12" s="39" t="s">
        <v>168</v>
      </c>
      <c r="C12" s="39" t="s">
        <v>169</v>
      </c>
      <c r="D12" s="40" t="s">
        <v>170</v>
      </c>
      <c r="E12" s="18" t="s">
        <v>588</v>
      </c>
      <c r="F12" s="19"/>
      <c r="G12" s="19"/>
      <c r="H12" s="19"/>
      <c r="I12" s="19"/>
    </row>
    <row r="13" spans="1:9" ht="30" x14ac:dyDescent="0.25">
      <c r="A13" s="27" t="s">
        <v>416</v>
      </c>
      <c r="B13" s="39" t="s">
        <v>417</v>
      </c>
      <c r="C13" s="39" t="s">
        <v>387</v>
      </c>
      <c r="D13" s="40" t="s">
        <v>418</v>
      </c>
      <c r="E13" s="18" t="s">
        <v>588</v>
      </c>
      <c r="F13" s="38"/>
      <c r="G13" s="38"/>
      <c r="H13" s="38"/>
      <c r="I13" s="38"/>
    </row>
    <row r="14" spans="1:9" ht="30" x14ac:dyDescent="0.25">
      <c r="A14" s="16" t="s">
        <v>174</v>
      </c>
      <c r="B14" s="17" t="s">
        <v>177</v>
      </c>
      <c r="C14" s="17" t="s">
        <v>36</v>
      </c>
      <c r="D14" s="18" t="s">
        <v>556</v>
      </c>
      <c r="E14" s="18" t="s">
        <v>588</v>
      </c>
      <c r="F14" s="19">
        <v>100</v>
      </c>
      <c r="G14" s="19">
        <v>100</v>
      </c>
      <c r="H14" s="19">
        <v>100</v>
      </c>
      <c r="I14" s="19">
        <v>100</v>
      </c>
    </row>
    <row r="15" spans="1:9" x14ac:dyDescent="0.25">
      <c r="A15" s="20" t="s">
        <v>176</v>
      </c>
      <c r="B15" s="17" t="s">
        <v>178</v>
      </c>
      <c r="C15" s="17" t="s">
        <v>180</v>
      </c>
      <c r="D15" s="18" t="s">
        <v>182</v>
      </c>
      <c r="E15" s="18" t="s">
        <v>588</v>
      </c>
      <c r="F15" s="22">
        <v>800</v>
      </c>
      <c r="G15" s="22">
        <v>800</v>
      </c>
      <c r="H15" s="22">
        <v>800</v>
      </c>
      <c r="I15" s="22">
        <v>800</v>
      </c>
    </row>
    <row r="16" spans="1:9" x14ac:dyDescent="0.25">
      <c r="A16" s="20" t="s">
        <v>175</v>
      </c>
      <c r="B16" s="17" t="s">
        <v>179</v>
      </c>
      <c r="C16" s="17" t="s">
        <v>181</v>
      </c>
      <c r="D16" s="18" t="s">
        <v>183</v>
      </c>
      <c r="E16" s="18" t="s">
        <v>588</v>
      </c>
      <c r="F16" s="22">
        <v>1500</v>
      </c>
      <c r="G16" s="22">
        <v>1500</v>
      </c>
      <c r="H16" s="22">
        <v>1500</v>
      </c>
      <c r="I16" s="22">
        <v>1500</v>
      </c>
    </row>
    <row r="17" spans="1:9" x14ac:dyDescent="0.25">
      <c r="A17" s="20" t="s">
        <v>420</v>
      </c>
      <c r="B17" s="17" t="s">
        <v>421</v>
      </c>
      <c r="C17" s="17" t="s">
        <v>422</v>
      </c>
      <c r="D17" s="18" t="s">
        <v>423</v>
      </c>
      <c r="E17" s="18" t="s">
        <v>588</v>
      </c>
      <c r="F17" s="41">
        <f>(F14*F15*F16)/3600/F6</f>
        <v>34.650034650034655</v>
      </c>
      <c r="G17" s="41">
        <f t="shared" ref="G17:I17" si="4">(G14*G15*G16)/3600/G6</f>
        <v>34.650034650034655</v>
      </c>
      <c r="H17" s="41">
        <f t="shared" si="4"/>
        <v>34.650034650034655</v>
      </c>
      <c r="I17" s="41">
        <f t="shared" si="4"/>
        <v>34.650034650034655</v>
      </c>
    </row>
    <row r="18" spans="1:9" s="12" customFormat="1" x14ac:dyDescent="0.25">
      <c r="A18" s="11" t="s">
        <v>184</v>
      </c>
      <c r="D18" s="15"/>
      <c r="E18" s="15"/>
    </row>
    <row r="19" spans="1:9" x14ac:dyDescent="0.25">
      <c r="A19" s="16" t="s">
        <v>307</v>
      </c>
      <c r="B19" s="17" t="s">
        <v>63</v>
      </c>
      <c r="C19" s="17" t="s">
        <v>58</v>
      </c>
      <c r="D19" s="18" t="s">
        <v>606</v>
      </c>
      <c r="E19" s="18" t="s">
        <v>266</v>
      </c>
      <c r="F19" s="19">
        <v>225</v>
      </c>
      <c r="G19" s="19">
        <v>225</v>
      </c>
      <c r="H19" s="19">
        <v>225</v>
      </c>
      <c r="I19" s="19">
        <v>225</v>
      </c>
    </row>
    <row r="20" spans="1:9" ht="30" x14ac:dyDescent="0.25">
      <c r="A20" s="16" t="s">
        <v>378</v>
      </c>
      <c r="B20" s="17" t="s">
        <v>377</v>
      </c>
      <c r="C20" s="17" t="s">
        <v>58</v>
      </c>
      <c r="D20" s="18" t="s">
        <v>81</v>
      </c>
      <c r="E20" s="18" t="s">
        <v>266</v>
      </c>
      <c r="F20" s="19">
        <v>90</v>
      </c>
      <c r="G20" s="19">
        <v>90</v>
      </c>
      <c r="H20" s="19">
        <v>90</v>
      </c>
      <c r="I20" s="19">
        <v>90</v>
      </c>
    </row>
    <row r="21" spans="1:9" x14ac:dyDescent="0.25">
      <c r="A21" s="16" t="s">
        <v>399</v>
      </c>
      <c r="B21" s="17" t="s">
        <v>68</v>
      </c>
      <c r="C21" s="17" t="s">
        <v>66</v>
      </c>
      <c r="D21" s="37"/>
      <c r="E21" s="18" t="s">
        <v>588</v>
      </c>
      <c r="F21" s="19">
        <v>10</v>
      </c>
      <c r="G21" s="19">
        <v>10</v>
      </c>
      <c r="H21" s="19">
        <v>10</v>
      </c>
      <c r="I21" s="19">
        <v>10</v>
      </c>
    </row>
    <row r="22" spans="1:9" x14ac:dyDescent="0.25">
      <c r="A22" s="16" t="s">
        <v>65</v>
      </c>
      <c r="B22" s="17" t="s">
        <v>74</v>
      </c>
      <c r="C22" s="17" t="s">
        <v>40</v>
      </c>
      <c r="D22" s="18" t="s">
        <v>67</v>
      </c>
      <c r="E22" s="18" t="s">
        <v>588</v>
      </c>
      <c r="F22" s="19">
        <v>0.75</v>
      </c>
      <c r="G22" s="19">
        <v>0.75</v>
      </c>
      <c r="H22" s="19">
        <v>0.75</v>
      </c>
      <c r="I22" s="19">
        <v>0.75</v>
      </c>
    </row>
    <row r="23" spans="1:9" x14ac:dyDescent="0.25">
      <c r="A23" s="16" t="s">
        <v>407</v>
      </c>
      <c r="B23" s="17" t="s">
        <v>80</v>
      </c>
      <c r="C23" s="17" t="s">
        <v>66</v>
      </c>
      <c r="D23" s="18"/>
      <c r="E23" s="18" t="s">
        <v>588</v>
      </c>
      <c r="F23" s="19">
        <v>0</v>
      </c>
      <c r="G23" s="19">
        <v>0</v>
      </c>
      <c r="H23" s="19">
        <v>0</v>
      </c>
      <c r="I23" s="19">
        <v>0</v>
      </c>
    </row>
    <row r="24" spans="1:9" x14ac:dyDescent="0.25">
      <c r="A24" s="16" t="s">
        <v>590</v>
      </c>
      <c r="B24" s="17" t="s">
        <v>599</v>
      </c>
      <c r="C24" s="17" t="s">
        <v>58</v>
      </c>
      <c r="D24" s="60" t="s">
        <v>598</v>
      </c>
      <c r="E24" s="18" t="s">
        <v>589</v>
      </c>
      <c r="F24" s="19" t="s">
        <v>603</v>
      </c>
      <c r="G24" s="19" t="s">
        <v>603</v>
      </c>
      <c r="H24" s="19" t="s">
        <v>603</v>
      </c>
      <c r="I24" s="19" t="s">
        <v>603</v>
      </c>
    </row>
    <row r="25" spans="1:9" x14ac:dyDescent="0.25">
      <c r="A25" s="11" t="s">
        <v>450</v>
      </c>
      <c r="F25" s="6"/>
      <c r="G25" s="6"/>
      <c r="H25" s="6"/>
      <c r="I25" s="6"/>
    </row>
    <row r="26" spans="1:9" x14ac:dyDescent="0.25">
      <c r="A26" s="16" t="s">
        <v>308</v>
      </c>
      <c r="B26" s="17" t="s">
        <v>63</v>
      </c>
      <c r="C26" s="17" t="s">
        <v>58</v>
      </c>
      <c r="D26" s="18" t="s">
        <v>606</v>
      </c>
      <c r="E26" s="18" t="s">
        <v>266</v>
      </c>
      <c r="F26" s="19">
        <v>135</v>
      </c>
      <c r="G26" s="19">
        <v>135</v>
      </c>
      <c r="H26" s="19">
        <v>135</v>
      </c>
      <c r="I26" s="19">
        <v>135</v>
      </c>
    </row>
    <row r="27" spans="1:9" ht="30" x14ac:dyDescent="0.25">
      <c r="A27" s="16" t="s">
        <v>379</v>
      </c>
      <c r="B27" s="17" t="s">
        <v>377</v>
      </c>
      <c r="C27" s="17" t="s">
        <v>58</v>
      </c>
      <c r="D27" s="18" t="s">
        <v>81</v>
      </c>
      <c r="E27" s="18" t="s">
        <v>266</v>
      </c>
      <c r="F27" s="19">
        <v>90</v>
      </c>
      <c r="G27" s="19">
        <v>90</v>
      </c>
      <c r="H27" s="19">
        <v>90</v>
      </c>
      <c r="I27" s="19">
        <v>90</v>
      </c>
    </row>
    <row r="28" spans="1:9" x14ac:dyDescent="0.25">
      <c r="A28" s="16" t="s">
        <v>400</v>
      </c>
      <c r="B28" s="17" t="s">
        <v>68</v>
      </c>
      <c r="C28" s="17" t="s">
        <v>66</v>
      </c>
      <c r="D28" s="37"/>
      <c r="E28" s="18" t="s">
        <v>588</v>
      </c>
      <c r="F28" s="19">
        <v>10</v>
      </c>
      <c r="G28" s="19">
        <v>10</v>
      </c>
      <c r="H28" s="19">
        <v>10</v>
      </c>
      <c r="I28" s="19">
        <v>10</v>
      </c>
    </row>
    <row r="29" spans="1:9" x14ac:dyDescent="0.25">
      <c r="A29" s="16" t="s">
        <v>70</v>
      </c>
      <c r="B29" s="17" t="s">
        <v>74</v>
      </c>
      <c r="C29" s="17" t="s">
        <v>40</v>
      </c>
      <c r="D29" s="18" t="s">
        <v>67</v>
      </c>
      <c r="E29" s="18" t="s">
        <v>588</v>
      </c>
      <c r="F29" s="19">
        <v>0.75</v>
      </c>
      <c r="G29" s="19">
        <v>0.75</v>
      </c>
      <c r="H29" s="19">
        <v>0.75</v>
      </c>
      <c r="I29" s="19">
        <v>0.75</v>
      </c>
    </row>
    <row r="30" spans="1:9" x14ac:dyDescent="0.25">
      <c r="A30" s="16" t="s">
        <v>408</v>
      </c>
      <c r="B30" s="17" t="s">
        <v>80</v>
      </c>
      <c r="C30" s="17" t="s">
        <v>66</v>
      </c>
      <c r="D30" s="18"/>
      <c r="E30" s="18" t="s">
        <v>588</v>
      </c>
      <c r="F30" s="19">
        <v>0</v>
      </c>
      <c r="G30" s="19">
        <v>0</v>
      </c>
      <c r="H30" s="19">
        <v>0</v>
      </c>
      <c r="I30" s="19">
        <v>0</v>
      </c>
    </row>
    <row r="31" spans="1:9" x14ac:dyDescent="0.25">
      <c r="A31" s="16" t="s">
        <v>591</v>
      </c>
      <c r="B31" s="17" t="s">
        <v>599</v>
      </c>
      <c r="C31" s="17" t="s">
        <v>58</v>
      </c>
      <c r="D31" s="60" t="s">
        <v>598</v>
      </c>
      <c r="E31" s="18" t="s">
        <v>589</v>
      </c>
      <c r="F31" s="19"/>
      <c r="G31" s="19"/>
      <c r="H31" s="19"/>
      <c r="I31" s="19"/>
    </row>
    <row r="32" spans="1:9" x14ac:dyDescent="0.25">
      <c r="A32" s="11" t="s">
        <v>451</v>
      </c>
      <c r="F32" s="6"/>
      <c r="G32" s="6"/>
      <c r="H32" s="6"/>
      <c r="I32" s="6"/>
    </row>
    <row r="33" spans="1:9" x14ac:dyDescent="0.25">
      <c r="A33" s="20" t="s">
        <v>309</v>
      </c>
      <c r="B33" s="17" t="s">
        <v>63</v>
      </c>
      <c r="C33" s="17" t="s">
        <v>58</v>
      </c>
      <c r="D33" s="18" t="s">
        <v>606</v>
      </c>
      <c r="E33" s="18" t="s">
        <v>266</v>
      </c>
      <c r="F33" s="22"/>
      <c r="G33" s="22"/>
      <c r="H33" s="22"/>
      <c r="I33" s="22"/>
    </row>
    <row r="34" spans="1:9" ht="30" x14ac:dyDescent="0.25">
      <c r="A34" s="27" t="s">
        <v>380</v>
      </c>
      <c r="B34" s="17" t="s">
        <v>377</v>
      </c>
      <c r="C34" s="17" t="s">
        <v>58</v>
      </c>
      <c r="D34" s="18" t="s">
        <v>81</v>
      </c>
      <c r="E34" s="18" t="s">
        <v>266</v>
      </c>
      <c r="F34" s="38"/>
      <c r="G34" s="38"/>
      <c r="H34" s="38"/>
      <c r="I34" s="38"/>
    </row>
    <row r="35" spans="1:9" x14ac:dyDescent="0.25">
      <c r="A35" s="20" t="s">
        <v>401</v>
      </c>
      <c r="B35" s="17" t="s">
        <v>68</v>
      </c>
      <c r="C35" s="17" t="s">
        <v>66</v>
      </c>
      <c r="D35" s="37"/>
      <c r="E35" s="18" t="s">
        <v>588</v>
      </c>
      <c r="F35" s="38"/>
      <c r="G35" s="38"/>
      <c r="H35" s="38"/>
      <c r="I35" s="38"/>
    </row>
    <row r="36" spans="1:9" x14ac:dyDescent="0.25">
      <c r="A36" s="20" t="s">
        <v>71</v>
      </c>
      <c r="B36" s="17" t="s">
        <v>74</v>
      </c>
      <c r="C36" s="17" t="s">
        <v>40</v>
      </c>
      <c r="D36" s="18" t="s">
        <v>67</v>
      </c>
      <c r="E36" s="18" t="s">
        <v>588</v>
      </c>
      <c r="F36" s="38"/>
      <c r="G36" s="38"/>
      <c r="H36" s="38"/>
      <c r="I36" s="38"/>
    </row>
    <row r="37" spans="1:9" x14ac:dyDescent="0.25">
      <c r="A37" s="20" t="s">
        <v>409</v>
      </c>
      <c r="B37" s="17" t="s">
        <v>80</v>
      </c>
      <c r="C37" s="17" t="s">
        <v>66</v>
      </c>
      <c r="D37" s="18"/>
      <c r="E37" s="18" t="s">
        <v>588</v>
      </c>
      <c r="F37" s="38"/>
      <c r="G37" s="38"/>
      <c r="H37" s="38"/>
      <c r="I37" s="38"/>
    </row>
    <row r="38" spans="1:9" x14ac:dyDescent="0.25">
      <c r="A38" s="20" t="s">
        <v>592</v>
      </c>
      <c r="B38" s="17" t="s">
        <v>599</v>
      </c>
      <c r="C38" s="17" t="s">
        <v>58</v>
      </c>
      <c r="D38" s="60" t="s">
        <v>598</v>
      </c>
      <c r="E38" s="18" t="s">
        <v>589</v>
      </c>
      <c r="F38" s="19"/>
      <c r="G38" s="19"/>
      <c r="H38" s="19"/>
      <c r="I38" s="19"/>
    </row>
    <row r="39" spans="1:9" x14ac:dyDescent="0.25">
      <c r="A39" s="11" t="s">
        <v>452</v>
      </c>
      <c r="F39" s="34"/>
      <c r="G39" s="34"/>
      <c r="H39" s="34"/>
      <c r="I39" s="34"/>
    </row>
    <row r="40" spans="1:9" x14ac:dyDescent="0.25">
      <c r="A40" s="20" t="s">
        <v>310</v>
      </c>
      <c r="B40" s="17" t="s">
        <v>63</v>
      </c>
      <c r="C40" s="17" t="s">
        <v>58</v>
      </c>
      <c r="D40" s="18" t="s">
        <v>606</v>
      </c>
      <c r="E40" s="18" t="s">
        <v>266</v>
      </c>
      <c r="F40" s="38"/>
      <c r="G40" s="38"/>
      <c r="H40" s="38"/>
      <c r="I40" s="38"/>
    </row>
    <row r="41" spans="1:9" ht="30" x14ac:dyDescent="0.25">
      <c r="A41" s="27" t="s">
        <v>381</v>
      </c>
      <c r="B41" s="17" t="s">
        <v>377</v>
      </c>
      <c r="C41" s="17" t="s">
        <v>58</v>
      </c>
      <c r="D41" s="18" t="s">
        <v>81</v>
      </c>
      <c r="E41" s="18" t="s">
        <v>266</v>
      </c>
      <c r="F41" s="38"/>
      <c r="G41" s="38"/>
      <c r="H41" s="38"/>
      <c r="I41" s="38"/>
    </row>
    <row r="42" spans="1:9" x14ac:dyDescent="0.25">
      <c r="A42" s="20" t="s">
        <v>402</v>
      </c>
      <c r="B42" s="17" t="s">
        <v>68</v>
      </c>
      <c r="C42" s="17" t="s">
        <v>66</v>
      </c>
      <c r="D42" s="37"/>
      <c r="E42" s="18" t="s">
        <v>588</v>
      </c>
      <c r="F42" s="38"/>
      <c r="G42" s="38"/>
      <c r="H42" s="38"/>
      <c r="I42" s="38"/>
    </row>
    <row r="43" spans="1:9" x14ac:dyDescent="0.25">
      <c r="A43" s="20" t="s">
        <v>72</v>
      </c>
      <c r="B43" s="17" t="s">
        <v>74</v>
      </c>
      <c r="C43" s="17" t="s">
        <v>40</v>
      </c>
      <c r="D43" s="18" t="s">
        <v>67</v>
      </c>
      <c r="E43" s="18" t="s">
        <v>588</v>
      </c>
      <c r="F43" s="22"/>
      <c r="G43" s="22"/>
      <c r="H43" s="22"/>
      <c r="I43" s="22"/>
    </row>
    <row r="44" spans="1:9" x14ac:dyDescent="0.25">
      <c r="A44" s="20" t="s">
        <v>410</v>
      </c>
      <c r="B44" s="17" t="s">
        <v>80</v>
      </c>
      <c r="C44" s="17" t="s">
        <v>66</v>
      </c>
      <c r="D44" s="18"/>
      <c r="E44" s="18" t="s">
        <v>588</v>
      </c>
      <c r="F44" s="22"/>
      <c r="G44" s="22"/>
      <c r="H44" s="22"/>
      <c r="I44" s="22"/>
    </row>
    <row r="45" spans="1:9" x14ac:dyDescent="0.25">
      <c r="A45" s="20" t="s">
        <v>593</v>
      </c>
      <c r="B45" s="17" t="s">
        <v>599</v>
      </c>
      <c r="C45" s="17" t="s">
        <v>58</v>
      </c>
      <c r="D45" s="60" t="s">
        <v>598</v>
      </c>
      <c r="E45" s="18" t="s">
        <v>589</v>
      </c>
      <c r="F45" s="19"/>
      <c r="G45" s="19"/>
      <c r="H45" s="19"/>
      <c r="I45" s="19"/>
    </row>
    <row r="46" spans="1:9" x14ac:dyDescent="0.25">
      <c r="A46" s="11" t="s">
        <v>453</v>
      </c>
    </row>
    <row r="47" spans="1:9" x14ac:dyDescent="0.25">
      <c r="A47" s="16" t="s">
        <v>311</v>
      </c>
      <c r="B47" s="17" t="s">
        <v>64</v>
      </c>
      <c r="C47" s="17" t="s">
        <v>58</v>
      </c>
      <c r="D47" s="18" t="s">
        <v>606</v>
      </c>
      <c r="E47" s="18" t="s">
        <v>266</v>
      </c>
      <c r="F47" s="19">
        <v>225</v>
      </c>
      <c r="G47" s="19">
        <v>225</v>
      </c>
      <c r="H47" s="19">
        <v>225</v>
      </c>
      <c r="I47" s="19">
        <v>225</v>
      </c>
    </row>
    <row r="48" spans="1:9" ht="30" x14ac:dyDescent="0.25">
      <c r="A48" s="16" t="s">
        <v>315</v>
      </c>
      <c r="B48" s="17" t="s">
        <v>75</v>
      </c>
      <c r="C48" s="17" t="s">
        <v>58</v>
      </c>
      <c r="D48" s="18" t="s">
        <v>81</v>
      </c>
      <c r="E48" s="18" t="s">
        <v>266</v>
      </c>
      <c r="F48" s="19">
        <v>50</v>
      </c>
      <c r="G48" s="19">
        <v>50</v>
      </c>
      <c r="H48" s="19">
        <v>50</v>
      </c>
      <c r="I48" s="19">
        <v>50</v>
      </c>
    </row>
    <row r="49" spans="1:9" x14ac:dyDescent="0.25">
      <c r="A49" s="16" t="s">
        <v>403</v>
      </c>
      <c r="B49" s="17" t="s">
        <v>73</v>
      </c>
      <c r="C49" s="17" t="s">
        <v>66</v>
      </c>
      <c r="D49" s="37"/>
      <c r="E49" s="18" t="s">
        <v>588</v>
      </c>
      <c r="F49" s="19">
        <v>3</v>
      </c>
      <c r="G49" s="19">
        <v>3</v>
      </c>
      <c r="H49" s="19">
        <v>3</v>
      </c>
      <c r="I49" s="19">
        <v>3</v>
      </c>
    </row>
    <row r="50" spans="1:9" x14ac:dyDescent="0.25">
      <c r="A50" s="16" t="s">
        <v>69</v>
      </c>
      <c r="B50" s="17" t="s">
        <v>74</v>
      </c>
      <c r="C50" s="17"/>
      <c r="D50" s="18" t="s">
        <v>67</v>
      </c>
      <c r="E50" s="18" t="s">
        <v>588</v>
      </c>
      <c r="F50" s="19">
        <v>0.64</v>
      </c>
      <c r="G50" s="19">
        <v>0.64</v>
      </c>
      <c r="H50" s="19">
        <v>0.64</v>
      </c>
      <c r="I50" s="19">
        <v>0.64</v>
      </c>
    </row>
    <row r="51" spans="1:9" x14ac:dyDescent="0.25">
      <c r="A51" s="16" t="s">
        <v>411</v>
      </c>
      <c r="B51" s="17" t="s">
        <v>80</v>
      </c>
      <c r="C51" s="17" t="s">
        <v>66</v>
      </c>
      <c r="D51" s="18"/>
      <c r="E51" s="18" t="s">
        <v>588</v>
      </c>
      <c r="F51" s="19">
        <f>18/0.23</f>
        <v>78.260869565217391</v>
      </c>
      <c r="G51" s="19">
        <f t="shared" ref="G51:I51" si="5">18/0.23</f>
        <v>78.260869565217391</v>
      </c>
      <c r="H51" s="19">
        <f t="shared" si="5"/>
        <v>78.260869565217391</v>
      </c>
      <c r="I51" s="19">
        <f t="shared" si="5"/>
        <v>78.260869565217391</v>
      </c>
    </row>
    <row r="52" spans="1:9" x14ac:dyDescent="0.25">
      <c r="A52" s="16" t="s">
        <v>594</v>
      </c>
      <c r="B52" s="17" t="s">
        <v>599</v>
      </c>
      <c r="C52" s="17" t="s">
        <v>58</v>
      </c>
      <c r="D52" s="60" t="s">
        <v>598</v>
      </c>
      <c r="E52" s="18" t="s">
        <v>589</v>
      </c>
      <c r="F52" s="19"/>
      <c r="G52" s="19"/>
      <c r="H52" s="19"/>
      <c r="I52" s="19"/>
    </row>
    <row r="53" spans="1:9" x14ac:dyDescent="0.25">
      <c r="A53" s="11" t="s">
        <v>454</v>
      </c>
      <c r="F53" s="35"/>
      <c r="G53" s="35"/>
      <c r="H53" s="35"/>
      <c r="I53" s="35"/>
    </row>
    <row r="54" spans="1:9" x14ac:dyDescent="0.25">
      <c r="A54" s="16" t="s">
        <v>312</v>
      </c>
      <c r="B54" s="17" t="s">
        <v>64</v>
      </c>
      <c r="C54" s="17" t="s">
        <v>58</v>
      </c>
      <c r="D54" s="18" t="s">
        <v>606</v>
      </c>
      <c r="E54" s="18" t="s">
        <v>266</v>
      </c>
      <c r="F54" s="19">
        <v>45</v>
      </c>
      <c r="G54" s="19">
        <v>45</v>
      </c>
      <c r="H54" s="19">
        <v>45</v>
      </c>
      <c r="I54" s="19">
        <v>45</v>
      </c>
    </row>
    <row r="55" spans="1:9" ht="30" x14ac:dyDescent="0.25">
      <c r="A55" s="16" t="s">
        <v>316</v>
      </c>
      <c r="B55" s="17" t="s">
        <v>75</v>
      </c>
      <c r="C55" s="17" t="s">
        <v>58</v>
      </c>
      <c r="D55" s="18" t="s">
        <v>81</v>
      </c>
      <c r="E55" s="18" t="s">
        <v>266</v>
      </c>
      <c r="F55" s="19">
        <v>50</v>
      </c>
      <c r="G55" s="19">
        <v>50</v>
      </c>
      <c r="H55" s="19">
        <v>50</v>
      </c>
      <c r="I55" s="19">
        <v>50</v>
      </c>
    </row>
    <row r="56" spans="1:9" x14ac:dyDescent="0.25">
      <c r="A56" s="16" t="s">
        <v>404</v>
      </c>
      <c r="B56" s="17" t="s">
        <v>73</v>
      </c>
      <c r="C56" s="17" t="s">
        <v>66</v>
      </c>
      <c r="D56" s="37"/>
      <c r="E56" s="18" t="s">
        <v>588</v>
      </c>
      <c r="F56" s="19">
        <v>50</v>
      </c>
      <c r="G56" s="19">
        <v>50</v>
      </c>
      <c r="H56" s="19">
        <v>50</v>
      </c>
      <c r="I56" s="19">
        <v>50</v>
      </c>
    </row>
    <row r="57" spans="1:9" x14ac:dyDescent="0.25">
      <c r="A57" s="16" t="s">
        <v>76</v>
      </c>
      <c r="B57" s="17" t="s">
        <v>74</v>
      </c>
      <c r="C57" s="17"/>
      <c r="D57" s="18" t="s">
        <v>67</v>
      </c>
      <c r="E57" s="18" t="s">
        <v>588</v>
      </c>
      <c r="F57" s="19">
        <v>0.64</v>
      </c>
      <c r="G57" s="19">
        <v>0.64</v>
      </c>
      <c r="H57" s="19">
        <v>0.64</v>
      </c>
      <c r="I57" s="19">
        <v>0.64</v>
      </c>
    </row>
    <row r="58" spans="1:9" x14ac:dyDescent="0.25">
      <c r="A58" s="16" t="s">
        <v>412</v>
      </c>
      <c r="B58" s="17" t="s">
        <v>80</v>
      </c>
      <c r="C58" s="17" t="s">
        <v>66</v>
      </c>
      <c r="D58" s="18"/>
      <c r="E58" s="18" t="s">
        <v>588</v>
      </c>
      <c r="F58" s="19">
        <f>6/0.23</f>
        <v>26.086956521739129</v>
      </c>
      <c r="G58" s="19">
        <f t="shared" ref="G58:I58" si="6">6/0.23</f>
        <v>26.086956521739129</v>
      </c>
      <c r="H58" s="19">
        <f t="shared" si="6"/>
        <v>26.086956521739129</v>
      </c>
      <c r="I58" s="19">
        <f t="shared" si="6"/>
        <v>26.086956521739129</v>
      </c>
    </row>
    <row r="59" spans="1:9" x14ac:dyDescent="0.25">
      <c r="A59" s="16" t="s">
        <v>595</v>
      </c>
      <c r="B59" s="17" t="s">
        <v>599</v>
      </c>
      <c r="C59" s="17" t="s">
        <v>58</v>
      </c>
      <c r="D59" s="60" t="s">
        <v>598</v>
      </c>
      <c r="E59" s="18" t="s">
        <v>589</v>
      </c>
      <c r="F59" s="19"/>
      <c r="G59" s="19"/>
      <c r="H59" s="19"/>
      <c r="I59" s="19"/>
    </row>
    <row r="60" spans="1:9" x14ac:dyDescent="0.25">
      <c r="A60" s="11" t="s">
        <v>455</v>
      </c>
      <c r="B60" s="34"/>
      <c r="C60" s="34"/>
      <c r="D60" s="36"/>
      <c r="E60" s="36"/>
      <c r="F60" s="35"/>
      <c r="G60" s="35"/>
      <c r="H60" s="35"/>
      <c r="I60" s="35"/>
    </row>
    <row r="61" spans="1:9" x14ac:dyDescent="0.25">
      <c r="A61" s="20" t="s">
        <v>313</v>
      </c>
      <c r="B61" s="17" t="s">
        <v>64</v>
      </c>
      <c r="C61" s="17" t="s">
        <v>58</v>
      </c>
      <c r="D61" s="18" t="s">
        <v>606</v>
      </c>
      <c r="E61" s="18" t="s">
        <v>266</v>
      </c>
      <c r="F61" s="38"/>
      <c r="G61" s="38"/>
      <c r="H61" s="38"/>
      <c r="I61" s="38"/>
    </row>
    <row r="62" spans="1:9" ht="30" x14ac:dyDescent="0.25">
      <c r="A62" s="27" t="s">
        <v>317</v>
      </c>
      <c r="B62" s="17" t="s">
        <v>75</v>
      </c>
      <c r="C62" s="17" t="s">
        <v>58</v>
      </c>
      <c r="D62" s="18" t="s">
        <v>81</v>
      </c>
      <c r="E62" s="18" t="s">
        <v>266</v>
      </c>
      <c r="F62" s="38"/>
      <c r="G62" s="38"/>
      <c r="H62" s="38"/>
      <c r="I62" s="38"/>
    </row>
    <row r="63" spans="1:9" x14ac:dyDescent="0.25">
      <c r="A63" s="20" t="s">
        <v>405</v>
      </c>
      <c r="B63" s="17" t="s">
        <v>73</v>
      </c>
      <c r="C63" s="17" t="s">
        <v>66</v>
      </c>
      <c r="D63" s="37"/>
      <c r="E63" s="18" t="s">
        <v>588</v>
      </c>
      <c r="F63" s="38"/>
      <c r="G63" s="38"/>
      <c r="H63" s="38"/>
      <c r="I63" s="38"/>
    </row>
    <row r="64" spans="1:9" x14ac:dyDescent="0.25">
      <c r="A64" s="20" t="s">
        <v>77</v>
      </c>
      <c r="B64" s="17" t="s">
        <v>74</v>
      </c>
      <c r="C64" s="17"/>
      <c r="D64" s="18" t="s">
        <v>67</v>
      </c>
      <c r="E64" s="18" t="s">
        <v>588</v>
      </c>
      <c r="F64" s="22"/>
      <c r="G64" s="22"/>
      <c r="H64" s="22"/>
      <c r="I64" s="22"/>
    </row>
    <row r="65" spans="1:9" x14ac:dyDescent="0.25">
      <c r="A65" s="20" t="s">
        <v>413</v>
      </c>
      <c r="B65" s="17" t="s">
        <v>80</v>
      </c>
      <c r="C65" s="17" t="s">
        <v>66</v>
      </c>
      <c r="D65" s="18"/>
      <c r="E65" s="18" t="s">
        <v>588</v>
      </c>
      <c r="F65" s="22"/>
      <c r="G65" s="22"/>
      <c r="H65" s="22"/>
      <c r="I65" s="22"/>
    </row>
    <row r="66" spans="1:9" x14ac:dyDescent="0.25">
      <c r="A66" s="20" t="s">
        <v>596</v>
      </c>
      <c r="B66" s="17" t="s">
        <v>599</v>
      </c>
      <c r="C66" s="17" t="s">
        <v>58</v>
      </c>
      <c r="D66" s="60" t="s">
        <v>598</v>
      </c>
      <c r="E66" s="18" t="s">
        <v>589</v>
      </c>
      <c r="F66" s="22"/>
      <c r="G66" s="22"/>
      <c r="H66" s="22"/>
      <c r="I66" s="22"/>
    </row>
    <row r="67" spans="1:9" x14ac:dyDescent="0.25">
      <c r="A67" s="11" t="s">
        <v>456</v>
      </c>
    </row>
    <row r="68" spans="1:9" x14ac:dyDescent="0.25">
      <c r="A68" s="20" t="s">
        <v>314</v>
      </c>
      <c r="B68" s="17" t="s">
        <v>64</v>
      </c>
      <c r="C68" s="17" t="s">
        <v>58</v>
      </c>
      <c r="D68" s="18" t="s">
        <v>606</v>
      </c>
      <c r="E68" s="18" t="s">
        <v>266</v>
      </c>
      <c r="F68" s="38"/>
      <c r="G68" s="38"/>
      <c r="H68" s="38"/>
      <c r="I68" s="38"/>
    </row>
    <row r="69" spans="1:9" ht="30" x14ac:dyDescent="0.25">
      <c r="A69" s="27" t="s">
        <v>318</v>
      </c>
      <c r="B69" s="17" t="s">
        <v>75</v>
      </c>
      <c r="C69" s="17" t="s">
        <v>58</v>
      </c>
      <c r="D69" s="18" t="s">
        <v>81</v>
      </c>
      <c r="E69" s="18" t="s">
        <v>266</v>
      </c>
      <c r="F69" s="38"/>
      <c r="G69" s="38"/>
      <c r="H69" s="38"/>
      <c r="I69" s="38"/>
    </row>
    <row r="70" spans="1:9" x14ac:dyDescent="0.25">
      <c r="A70" s="20" t="s">
        <v>406</v>
      </c>
      <c r="B70" s="17" t="s">
        <v>73</v>
      </c>
      <c r="C70" s="17" t="s">
        <v>66</v>
      </c>
      <c r="D70" s="37"/>
      <c r="E70" s="18" t="s">
        <v>588</v>
      </c>
      <c r="F70" s="38"/>
      <c r="G70" s="38"/>
      <c r="H70" s="38"/>
      <c r="I70" s="38"/>
    </row>
    <row r="71" spans="1:9" x14ac:dyDescent="0.25">
      <c r="A71" s="20" t="s">
        <v>78</v>
      </c>
      <c r="B71" s="17" t="s">
        <v>74</v>
      </c>
      <c r="C71" s="17"/>
      <c r="D71" s="18" t="s">
        <v>67</v>
      </c>
      <c r="E71" s="18" t="s">
        <v>588</v>
      </c>
      <c r="F71" s="22"/>
      <c r="G71" s="22"/>
      <c r="H71" s="22"/>
      <c r="I71" s="22"/>
    </row>
    <row r="72" spans="1:9" x14ac:dyDescent="0.25">
      <c r="A72" s="20" t="s">
        <v>414</v>
      </c>
      <c r="B72" s="17" t="s">
        <v>80</v>
      </c>
      <c r="C72" s="17" t="s">
        <v>66</v>
      </c>
      <c r="D72" s="18"/>
      <c r="E72" s="18" t="s">
        <v>588</v>
      </c>
      <c r="F72" s="22"/>
      <c r="G72" s="22"/>
      <c r="H72" s="22"/>
      <c r="I72" s="22"/>
    </row>
    <row r="73" spans="1:9" x14ac:dyDescent="0.25">
      <c r="A73" s="20" t="s">
        <v>597</v>
      </c>
      <c r="B73" s="17" t="s">
        <v>599</v>
      </c>
      <c r="C73" s="17" t="s">
        <v>58</v>
      </c>
      <c r="D73" s="60" t="s">
        <v>598</v>
      </c>
      <c r="E73" s="18" t="s">
        <v>589</v>
      </c>
      <c r="F73" s="22"/>
      <c r="G73" s="22"/>
      <c r="H73" s="22"/>
      <c r="I73" s="22"/>
    </row>
  </sheetData>
  <hyperlinks>
    <hyperlink ref="D24" r:id="rId1" location="ref-2-using-horizon-information" display="if nothing is given, horizon is assumed to be at 0° (see PVGIS documentation on 'userhorizon')" xr:uid="{1171F5A2-1040-4B22-9905-1A5927CC122F}"/>
    <hyperlink ref="D31" r:id="rId2" location="ref-2-using-horizon-information" display="if nothing is given, horizon is assumed to be at 0° (see PVGIS documentation on 'userhorizon')" xr:uid="{18D75B20-4B5E-497C-A27E-6577AC175C16}"/>
    <hyperlink ref="D38" r:id="rId3" location="ref-2-using-horizon-information" display="if nothing is given, horizon is assumed to be at 0° (see PVGIS documentation on 'userhorizon')" xr:uid="{F7A5713F-E0DA-46E6-BDA8-10377885D0E5}"/>
    <hyperlink ref="D52" r:id="rId4" location="ref-2-using-horizon-information" display="if nothing is given, horizon is assumed to be at 0° (see PVGIS documentation on 'userhorizon')" xr:uid="{B2F501E0-A9B5-4F2B-BDD7-8B749DFC6DFD}"/>
    <hyperlink ref="D59" r:id="rId5" location="ref-2-using-horizon-information" display="if nothing is given, horizon is assumed to be at 0° (see PVGIS documentation on 'userhorizon')" xr:uid="{D8B7A191-02C4-4EE4-8A8D-BF150D4B66D7}"/>
    <hyperlink ref="D66" r:id="rId6" location="ref-2-using-horizon-information" display="if nothing is given, horizon is assumed to be at 0° (see PVGIS documentation on 'userhorizon')" xr:uid="{A6E6DCE5-25BA-4FBE-BF5F-AD57C45BF53F}"/>
    <hyperlink ref="D73" r:id="rId7" location="ref-2-using-horizon-information" display="if nothing is given, horizon is assumed to be at 0° (see PVGIS documentation on 'userhorizon')" xr:uid="{2A2231F1-B700-42DD-9F90-2EDF511A56E8}"/>
    <hyperlink ref="D45" r:id="rId8" location="ref-2-using-horizon-information" display="if nothing is given, horizon is assumed to be at 0° (see PVGIS documentation on 'userhorizon')" xr:uid="{B9493AC6-991F-4CBD-B1ED-D6CA54807498}"/>
  </hyperlinks>
  <pageMargins left="0.7" right="0.7" top="0.78740157499999996" bottom="0.78740157499999996" header="0.3" footer="0.3"/>
  <pageSetup paperSize="9" orientation="portrait" r:id="rId9"/>
  <extLst>
    <ext xmlns:x14="http://schemas.microsoft.com/office/spreadsheetml/2009/9/main" uri="{CCE6A557-97BC-4b89-ADB6-D9C93CAAB3DF}">
      <x14:dataValidations xmlns:xm="http://schemas.microsoft.com/office/excel/2006/main" count="1">
        <x14:dataValidation type="list" allowBlank="1" showInputMessage="1" showErrorMessage="1" xr:uid="{B790FCBD-483B-4BC6-AF87-A46D940253DF}">
          <x14:formula1>
            <xm:f>Definitions!$A$2:$A$3</xm:f>
          </x14:formula1>
          <xm:sqref>F4:I4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75771-D2CE-40AE-8A86-013670378D8E}">
  <sheetPr>
    <tabColor theme="9"/>
  </sheetPr>
  <dimension ref="A1:I187"/>
  <sheetViews>
    <sheetView zoomScaleNormal="100" workbookViewId="0">
      <pane ySplit="1" topLeftCell="A183" activePane="bottomLeft" state="frozen"/>
      <selection pane="bottomLeft" activeCell="D180" sqref="D180"/>
    </sheetView>
  </sheetViews>
  <sheetFormatPr baseColWidth="10" defaultRowHeight="15" x14ac:dyDescent="0.25"/>
  <cols>
    <col min="1" max="1" width="29" customWidth="1"/>
    <col min="2" max="2" width="23.28515625" customWidth="1"/>
    <col min="3" max="3" width="16.7109375" customWidth="1"/>
    <col min="4" max="4" width="32.85546875" customWidth="1"/>
    <col min="5" max="5" width="11" customWidth="1"/>
  </cols>
  <sheetData>
    <row r="1" spans="1:9" x14ac:dyDescent="0.25">
      <c r="A1" s="1" t="str">
        <f>Location!A1</f>
        <v>PARAMETERS</v>
      </c>
      <c r="B1" s="1"/>
      <c r="C1" s="1"/>
      <c r="D1" s="1"/>
      <c r="E1" s="1"/>
      <c r="F1" s="1" t="str">
        <f>Location!F1</f>
        <v>SCENARIO VALUES</v>
      </c>
      <c r="G1" s="1"/>
      <c r="H1" s="1"/>
      <c r="I1" s="1"/>
    </row>
    <row r="2" spans="1:9" x14ac:dyDescent="0.25">
      <c r="A2" s="20" t="s">
        <v>278</v>
      </c>
      <c r="B2" s="23" t="s">
        <v>1</v>
      </c>
      <c r="C2" s="23" t="s">
        <v>22</v>
      </c>
      <c r="D2" s="23" t="s">
        <v>29</v>
      </c>
      <c r="E2" s="23" t="s">
        <v>587</v>
      </c>
      <c r="F2" s="24" t="str">
        <f>Location!F2</f>
        <v>BAU</v>
      </c>
      <c r="G2" s="24" t="str">
        <f>Location!G2</f>
        <v>PV + WP</v>
      </c>
      <c r="H2" s="24" t="str">
        <f>Location!H2</f>
        <v>Refurbished</v>
      </c>
      <c r="I2" s="24" t="str">
        <f>Location!I2</f>
        <v>Flex</v>
      </c>
    </row>
    <row r="3" spans="1:9" x14ac:dyDescent="0.25">
      <c r="A3" s="3" t="s">
        <v>190</v>
      </c>
    </row>
    <row r="4" spans="1:9" x14ac:dyDescent="0.25">
      <c r="A4" s="16" t="s">
        <v>82</v>
      </c>
      <c r="B4" s="17" t="s">
        <v>83</v>
      </c>
      <c r="C4" s="17" t="s">
        <v>40</v>
      </c>
      <c r="D4" s="18" t="s">
        <v>84</v>
      </c>
      <c r="E4" s="18" t="s">
        <v>589</v>
      </c>
      <c r="F4" s="19" t="s">
        <v>85</v>
      </c>
      <c r="G4" s="19" t="s">
        <v>85</v>
      </c>
      <c r="H4" s="19" t="s">
        <v>85</v>
      </c>
      <c r="I4" s="19" t="s">
        <v>85</v>
      </c>
    </row>
    <row r="5" spans="1:9" x14ac:dyDescent="0.25">
      <c r="A5" s="20" t="s">
        <v>288</v>
      </c>
      <c r="B5" s="17" t="s">
        <v>94</v>
      </c>
      <c r="C5" s="17" t="s">
        <v>25</v>
      </c>
      <c r="D5" s="18" t="s">
        <v>95</v>
      </c>
      <c r="E5" s="18" t="s">
        <v>588</v>
      </c>
      <c r="F5" s="21">
        <v>0.23</v>
      </c>
      <c r="G5" s="21">
        <v>0.23</v>
      </c>
      <c r="H5" s="21">
        <v>0.23</v>
      </c>
      <c r="I5" s="21">
        <v>0.23</v>
      </c>
    </row>
    <row r="6" spans="1:9" x14ac:dyDescent="0.25">
      <c r="A6" s="20" t="s">
        <v>96</v>
      </c>
      <c r="B6" s="17" t="s">
        <v>97</v>
      </c>
      <c r="C6" s="17" t="s">
        <v>98</v>
      </c>
      <c r="D6" s="18" t="s">
        <v>99</v>
      </c>
      <c r="E6" s="18" t="s">
        <v>266</v>
      </c>
      <c r="F6" s="22">
        <v>25</v>
      </c>
      <c r="G6" s="22">
        <v>25</v>
      </c>
      <c r="H6" s="22">
        <v>25</v>
      </c>
      <c r="I6" s="22">
        <v>25</v>
      </c>
    </row>
    <row r="7" spans="1:9" x14ac:dyDescent="0.25">
      <c r="A7" s="20" t="s">
        <v>100</v>
      </c>
      <c r="B7" s="17" t="s">
        <v>101</v>
      </c>
      <c r="C7" s="17" t="s">
        <v>102</v>
      </c>
      <c r="D7" s="18" t="s">
        <v>103</v>
      </c>
      <c r="E7" s="18" t="s">
        <v>588</v>
      </c>
      <c r="F7" s="22">
        <v>870</v>
      </c>
      <c r="G7" s="22">
        <v>870</v>
      </c>
      <c r="H7" s="22">
        <v>870</v>
      </c>
      <c r="I7" s="22">
        <v>870</v>
      </c>
    </row>
    <row r="8" spans="1:9" x14ac:dyDescent="0.25">
      <c r="A8" s="20" t="s">
        <v>143</v>
      </c>
      <c r="B8" s="17" t="s">
        <v>144</v>
      </c>
      <c r="C8" s="17" t="s">
        <v>145</v>
      </c>
      <c r="D8" s="18"/>
      <c r="E8" s="18" t="s">
        <v>588</v>
      </c>
      <c r="F8" s="22">
        <v>5000</v>
      </c>
      <c r="G8" s="22">
        <v>5000</v>
      </c>
      <c r="H8" s="22">
        <v>5000</v>
      </c>
      <c r="I8" s="22">
        <v>5000</v>
      </c>
    </row>
    <row r="9" spans="1:9" ht="30" x14ac:dyDescent="0.25">
      <c r="A9" s="20" t="s">
        <v>106</v>
      </c>
      <c r="B9" s="17" t="s">
        <v>107</v>
      </c>
      <c r="C9" s="17" t="s">
        <v>242</v>
      </c>
      <c r="D9" s="18" t="s">
        <v>110</v>
      </c>
      <c r="E9" s="18" t="s">
        <v>588</v>
      </c>
      <c r="F9" s="22">
        <v>12000</v>
      </c>
      <c r="G9" s="22">
        <v>12000</v>
      </c>
      <c r="H9" s="22">
        <v>12000</v>
      </c>
      <c r="I9" s="22">
        <v>12000</v>
      </c>
    </row>
    <row r="10" spans="1:9" ht="30" x14ac:dyDescent="0.25">
      <c r="A10" s="20" t="s">
        <v>108</v>
      </c>
      <c r="B10" s="17" t="s">
        <v>109</v>
      </c>
      <c r="C10" s="17" t="s">
        <v>112</v>
      </c>
      <c r="D10" s="18" t="s">
        <v>111</v>
      </c>
      <c r="E10" s="18" t="s">
        <v>588</v>
      </c>
      <c r="F10" s="22">
        <v>0</v>
      </c>
      <c r="G10" s="22">
        <v>0</v>
      </c>
      <c r="H10" s="22">
        <v>0</v>
      </c>
      <c r="I10" s="22">
        <v>0</v>
      </c>
    </row>
    <row r="11" spans="1:9" ht="45" x14ac:dyDescent="0.25">
      <c r="A11" s="16" t="s">
        <v>394</v>
      </c>
      <c r="B11" s="17" t="s">
        <v>104</v>
      </c>
      <c r="C11" s="17" t="s">
        <v>105</v>
      </c>
      <c r="D11" s="18" t="s">
        <v>415</v>
      </c>
      <c r="E11" s="18" t="s">
        <v>588</v>
      </c>
      <c r="F11" s="22">
        <v>0</v>
      </c>
      <c r="G11" s="22">
        <v>21.6</v>
      </c>
      <c r="H11" s="22">
        <v>21.6</v>
      </c>
      <c r="I11" s="22">
        <v>21.6</v>
      </c>
    </row>
    <row r="12" spans="1:9" x14ac:dyDescent="0.25">
      <c r="A12" s="20" t="s">
        <v>424</v>
      </c>
      <c r="B12" s="17" t="s">
        <v>425</v>
      </c>
      <c r="C12" s="17" t="s">
        <v>105</v>
      </c>
      <c r="D12" s="18"/>
      <c r="E12" s="18" t="s">
        <v>588</v>
      </c>
      <c r="F12" s="22">
        <v>0</v>
      </c>
      <c r="G12" s="22">
        <v>17.8</v>
      </c>
      <c r="H12" s="22">
        <v>17.8</v>
      </c>
      <c r="I12" s="22">
        <v>17.8</v>
      </c>
    </row>
    <row r="13" spans="1:9" x14ac:dyDescent="0.25">
      <c r="A13" s="20" t="s">
        <v>267</v>
      </c>
      <c r="B13" s="17" t="s">
        <v>227</v>
      </c>
      <c r="C13" s="17" t="s">
        <v>226</v>
      </c>
      <c r="D13" s="18" t="s">
        <v>182</v>
      </c>
      <c r="E13" s="18" t="s">
        <v>588</v>
      </c>
      <c r="F13" s="22">
        <v>800</v>
      </c>
      <c r="G13" s="22">
        <v>800</v>
      </c>
      <c r="H13" s="22">
        <v>800</v>
      </c>
      <c r="I13" s="22">
        <v>800</v>
      </c>
    </row>
    <row r="14" spans="1:9" x14ac:dyDescent="0.25">
      <c r="A14" s="3" t="s">
        <v>433</v>
      </c>
      <c r="D14" s="5"/>
      <c r="E14" s="5"/>
    </row>
    <row r="15" spans="1:9" x14ac:dyDescent="0.25">
      <c r="A15" s="16" t="s">
        <v>113</v>
      </c>
      <c r="B15" s="17" t="s">
        <v>83</v>
      </c>
      <c r="C15" s="17" t="s">
        <v>40</v>
      </c>
      <c r="D15" s="18" t="s">
        <v>84</v>
      </c>
      <c r="E15" s="18" t="s">
        <v>589</v>
      </c>
      <c r="F15" s="19" t="s">
        <v>85</v>
      </c>
      <c r="G15" s="19" t="s">
        <v>85</v>
      </c>
      <c r="H15" s="19" t="s">
        <v>85</v>
      </c>
      <c r="I15" s="19" t="s">
        <v>85</v>
      </c>
    </row>
    <row r="16" spans="1:9" x14ac:dyDescent="0.25">
      <c r="A16" s="20" t="s">
        <v>289</v>
      </c>
      <c r="B16" s="17" t="s">
        <v>94</v>
      </c>
      <c r="C16" s="17" t="s">
        <v>25</v>
      </c>
      <c r="D16" s="18" t="s">
        <v>95</v>
      </c>
      <c r="E16" s="18" t="s">
        <v>588</v>
      </c>
      <c r="F16" s="21">
        <v>0.23</v>
      </c>
      <c r="G16" s="21">
        <v>0.23</v>
      </c>
      <c r="H16" s="21">
        <v>0.23</v>
      </c>
      <c r="I16" s="21">
        <v>0.23</v>
      </c>
    </row>
    <row r="17" spans="1:9" x14ac:dyDescent="0.25">
      <c r="A17" s="20" t="s">
        <v>114</v>
      </c>
      <c r="B17" s="17" t="s">
        <v>97</v>
      </c>
      <c r="C17" s="17" t="s">
        <v>98</v>
      </c>
      <c r="D17" s="18" t="s">
        <v>99</v>
      </c>
      <c r="E17" s="18" t="s">
        <v>266</v>
      </c>
      <c r="F17" s="22">
        <v>25</v>
      </c>
      <c r="G17" s="22">
        <v>25</v>
      </c>
      <c r="H17" s="22">
        <v>25</v>
      </c>
      <c r="I17" s="22">
        <v>25</v>
      </c>
    </row>
    <row r="18" spans="1:9" x14ac:dyDescent="0.25">
      <c r="A18" s="20" t="s">
        <v>115</v>
      </c>
      <c r="B18" s="17" t="s">
        <v>101</v>
      </c>
      <c r="C18" s="17" t="s">
        <v>102</v>
      </c>
      <c r="D18" s="18" t="s">
        <v>103</v>
      </c>
      <c r="E18" s="18" t="s">
        <v>588</v>
      </c>
      <c r="F18" s="22">
        <v>870</v>
      </c>
      <c r="G18" s="22">
        <v>870</v>
      </c>
      <c r="H18" s="22">
        <v>870</v>
      </c>
      <c r="I18" s="22">
        <v>870</v>
      </c>
    </row>
    <row r="19" spans="1:9" x14ac:dyDescent="0.25">
      <c r="A19" s="20" t="s">
        <v>146</v>
      </c>
      <c r="B19" s="17" t="s">
        <v>144</v>
      </c>
      <c r="C19" s="17" t="s">
        <v>145</v>
      </c>
      <c r="D19" s="18"/>
      <c r="E19" s="18" t="s">
        <v>588</v>
      </c>
      <c r="F19" s="22">
        <v>1500</v>
      </c>
      <c r="G19" s="22">
        <v>1500</v>
      </c>
      <c r="H19" s="22">
        <v>1500</v>
      </c>
      <c r="I19" s="22">
        <v>1500</v>
      </c>
    </row>
    <row r="20" spans="1:9" ht="30" x14ac:dyDescent="0.25">
      <c r="A20" s="20" t="s">
        <v>116</v>
      </c>
      <c r="B20" s="17" t="s">
        <v>107</v>
      </c>
      <c r="C20" s="17" t="s">
        <v>242</v>
      </c>
      <c r="D20" s="18" t="s">
        <v>110</v>
      </c>
      <c r="E20" s="18" t="s">
        <v>588</v>
      </c>
      <c r="F20" s="22">
        <v>0</v>
      </c>
      <c r="G20" s="22">
        <v>0</v>
      </c>
      <c r="H20" s="22">
        <v>0</v>
      </c>
      <c r="I20" s="22">
        <v>0</v>
      </c>
    </row>
    <row r="21" spans="1:9" ht="30" x14ac:dyDescent="0.25">
      <c r="A21" s="20" t="s">
        <v>117</v>
      </c>
      <c r="B21" s="17" t="s">
        <v>109</v>
      </c>
      <c r="C21" s="17" t="s">
        <v>112</v>
      </c>
      <c r="D21" s="18" t="s">
        <v>111</v>
      </c>
      <c r="E21" s="18" t="s">
        <v>588</v>
      </c>
      <c r="F21" s="22">
        <v>0</v>
      </c>
      <c r="G21" s="22">
        <v>0</v>
      </c>
      <c r="H21" s="22">
        <v>0</v>
      </c>
      <c r="I21" s="22">
        <v>0</v>
      </c>
    </row>
    <row r="22" spans="1:9" ht="45" x14ac:dyDescent="0.25">
      <c r="A22" s="16" t="s">
        <v>395</v>
      </c>
      <c r="B22" s="17" t="s">
        <v>104</v>
      </c>
      <c r="C22" s="17" t="s">
        <v>105</v>
      </c>
      <c r="D22" s="18" t="s">
        <v>415</v>
      </c>
      <c r="E22" s="18" t="s">
        <v>588</v>
      </c>
      <c r="F22" s="22">
        <v>0</v>
      </c>
      <c r="G22" s="22">
        <v>3.8</v>
      </c>
      <c r="H22" s="22">
        <v>3.8</v>
      </c>
      <c r="I22" s="22">
        <v>3.8</v>
      </c>
    </row>
    <row r="23" spans="1:9" x14ac:dyDescent="0.25">
      <c r="A23" s="20" t="s">
        <v>429</v>
      </c>
      <c r="B23" s="17" t="s">
        <v>425</v>
      </c>
      <c r="C23" s="17" t="s">
        <v>105</v>
      </c>
      <c r="D23" s="18"/>
      <c r="E23" s="18" t="s">
        <v>588</v>
      </c>
      <c r="F23" s="22">
        <v>0</v>
      </c>
      <c r="G23" s="22">
        <v>0</v>
      </c>
      <c r="H23" s="22">
        <v>0</v>
      </c>
      <c r="I23" s="22">
        <v>0</v>
      </c>
    </row>
    <row r="24" spans="1:9" x14ac:dyDescent="0.25">
      <c r="A24" s="20" t="s">
        <v>268</v>
      </c>
      <c r="B24" s="17" t="s">
        <v>227</v>
      </c>
      <c r="C24" s="17" t="s">
        <v>226</v>
      </c>
      <c r="D24" s="18" t="s">
        <v>182</v>
      </c>
      <c r="E24" s="18" t="s">
        <v>588</v>
      </c>
      <c r="F24" s="22">
        <v>800</v>
      </c>
      <c r="G24" s="22">
        <v>800</v>
      </c>
      <c r="H24" s="22">
        <v>800</v>
      </c>
      <c r="I24" s="22">
        <v>800</v>
      </c>
    </row>
    <row r="25" spans="1:9" x14ac:dyDescent="0.25">
      <c r="A25" s="3" t="s">
        <v>432</v>
      </c>
      <c r="D25" s="5"/>
      <c r="E25" s="5"/>
    </row>
    <row r="26" spans="1:9" x14ac:dyDescent="0.25">
      <c r="A26" s="16" t="s">
        <v>118</v>
      </c>
      <c r="B26" s="17" t="s">
        <v>83</v>
      </c>
      <c r="C26" s="17" t="s">
        <v>40</v>
      </c>
      <c r="D26" s="18" t="s">
        <v>84</v>
      </c>
      <c r="E26" s="18" t="s">
        <v>589</v>
      </c>
      <c r="F26" s="19" t="s">
        <v>86</v>
      </c>
      <c r="G26" s="19" t="s">
        <v>86</v>
      </c>
      <c r="H26" s="19" t="s">
        <v>86</v>
      </c>
      <c r="I26" s="19" t="s">
        <v>86</v>
      </c>
    </row>
    <row r="27" spans="1:9" x14ac:dyDescent="0.25">
      <c r="A27" s="20" t="s">
        <v>290</v>
      </c>
      <c r="B27" s="17" t="s">
        <v>94</v>
      </c>
      <c r="C27" s="17" t="s">
        <v>25</v>
      </c>
      <c r="D27" s="18" t="s">
        <v>95</v>
      </c>
      <c r="E27" s="18" t="s">
        <v>588</v>
      </c>
      <c r="F27" s="21">
        <v>0.23</v>
      </c>
      <c r="G27" s="21">
        <v>0.23</v>
      </c>
      <c r="H27" s="21">
        <v>0.23</v>
      </c>
      <c r="I27" s="21">
        <v>0.23</v>
      </c>
    </row>
    <row r="28" spans="1:9" x14ac:dyDescent="0.25">
      <c r="A28" s="20" t="s">
        <v>119</v>
      </c>
      <c r="B28" s="17" t="s">
        <v>97</v>
      </c>
      <c r="C28" s="17" t="s">
        <v>98</v>
      </c>
      <c r="D28" s="18" t="s">
        <v>99</v>
      </c>
      <c r="E28" s="18" t="s">
        <v>266</v>
      </c>
      <c r="F28" s="22">
        <v>25</v>
      </c>
      <c r="G28" s="22">
        <v>25</v>
      </c>
      <c r="H28" s="22">
        <v>25</v>
      </c>
      <c r="I28" s="22">
        <v>25</v>
      </c>
    </row>
    <row r="29" spans="1:9" x14ac:dyDescent="0.25">
      <c r="A29" s="20" t="s">
        <v>120</v>
      </c>
      <c r="B29" s="17" t="s">
        <v>101</v>
      </c>
      <c r="C29" s="17" t="s">
        <v>102</v>
      </c>
      <c r="D29" s="18" t="s">
        <v>103</v>
      </c>
      <c r="E29" s="18" t="s">
        <v>588</v>
      </c>
      <c r="F29" s="22">
        <v>870</v>
      </c>
      <c r="G29" s="22">
        <v>870</v>
      </c>
      <c r="H29" s="22">
        <v>870</v>
      </c>
      <c r="I29" s="22">
        <v>870</v>
      </c>
    </row>
    <row r="30" spans="1:9" x14ac:dyDescent="0.25">
      <c r="A30" s="20" t="s">
        <v>147</v>
      </c>
      <c r="B30" s="17" t="s">
        <v>144</v>
      </c>
      <c r="C30" s="17" t="s">
        <v>145</v>
      </c>
      <c r="D30" s="18"/>
      <c r="E30" s="18" t="s">
        <v>588</v>
      </c>
      <c r="F30" s="22">
        <v>1500</v>
      </c>
      <c r="G30" s="22">
        <v>1500</v>
      </c>
      <c r="H30" s="22">
        <v>1500</v>
      </c>
      <c r="I30" s="22">
        <v>1500</v>
      </c>
    </row>
    <row r="31" spans="1:9" ht="30" x14ac:dyDescent="0.25">
      <c r="A31" s="20" t="s">
        <v>121</v>
      </c>
      <c r="B31" s="17" t="s">
        <v>107</v>
      </c>
      <c r="C31" s="17" t="s">
        <v>242</v>
      </c>
      <c r="D31" s="18" t="s">
        <v>110</v>
      </c>
      <c r="E31" s="18" t="s">
        <v>588</v>
      </c>
      <c r="F31" s="22">
        <v>0</v>
      </c>
      <c r="G31" s="22">
        <v>0</v>
      </c>
      <c r="H31" s="22">
        <v>0</v>
      </c>
      <c r="I31" s="22">
        <v>0</v>
      </c>
    </row>
    <row r="32" spans="1:9" ht="30" x14ac:dyDescent="0.25">
      <c r="A32" s="20" t="s">
        <v>122</v>
      </c>
      <c r="B32" s="17" t="s">
        <v>109</v>
      </c>
      <c r="C32" s="17" t="s">
        <v>112</v>
      </c>
      <c r="D32" s="18" t="s">
        <v>111</v>
      </c>
      <c r="E32" s="18" t="s">
        <v>588</v>
      </c>
      <c r="F32" s="22">
        <v>0</v>
      </c>
      <c r="G32" s="22">
        <v>0</v>
      </c>
      <c r="H32" s="22">
        <v>0</v>
      </c>
      <c r="I32" s="22">
        <v>0</v>
      </c>
    </row>
    <row r="33" spans="1:9" ht="45" x14ac:dyDescent="0.25">
      <c r="A33" s="16" t="s">
        <v>396</v>
      </c>
      <c r="B33" s="17" t="s">
        <v>104</v>
      </c>
      <c r="C33" s="17" t="s">
        <v>105</v>
      </c>
      <c r="D33" s="18" t="s">
        <v>415</v>
      </c>
      <c r="E33" s="18" t="s">
        <v>588</v>
      </c>
      <c r="F33" s="22">
        <v>0</v>
      </c>
      <c r="G33" s="22">
        <v>3.2</v>
      </c>
      <c r="H33" s="22">
        <v>3.2</v>
      </c>
      <c r="I33" s="22">
        <v>3.2</v>
      </c>
    </row>
    <row r="34" spans="1:9" x14ac:dyDescent="0.25">
      <c r="A34" s="20" t="s">
        <v>430</v>
      </c>
      <c r="B34" s="17" t="s">
        <v>425</v>
      </c>
      <c r="C34" s="17" t="s">
        <v>105</v>
      </c>
      <c r="D34" s="18"/>
      <c r="E34" s="18" t="s">
        <v>588</v>
      </c>
      <c r="F34" s="22">
        <v>0</v>
      </c>
      <c r="G34" s="22">
        <v>0</v>
      </c>
      <c r="H34" s="22">
        <v>0</v>
      </c>
      <c r="I34" s="22">
        <v>0</v>
      </c>
    </row>
    <row r="35" spans="1:9" x14ac:dyDescent="0.25">
      <c r="A35" s="20" t="s">
        <v>269</v>
      </c>
      <c r="B35" s="17" t="s">
        <v>227</v>
      </c>
      <c r="C35" s="17" t="s">
        <v>226</v>
      </c>
      <c r="D35" s="18" t="s">
        <v>182</v>
      </c>
      <c r="E35" s="18" t="s">
        <v>588</v>
      </c>
      <c r="F35" s="22">
        <v>800</v>
      </c>
      <c r="G35" s="22">
        <v>800</v>
      </c>
      <c r="H35" s="22">
        <v>800</v>
      </c>
      <c r="I35" s="22">
        <v>800</v>
      </c>
    </row>
    <row r="36" spans="1:9" x14ac:dyDescent="0.25">
      <c r="A36" s="3" t="s">
        <v>434</v>
      </c>
      <c r="D36" s="5"/>
      <c r="E36" s="5"/>
    </row>
    <row r="37" spans="1:9" x14ac:dyDescent="0.25">
      <c r="A37" s="16" t="s">
        <v>123</v>
      </c>
      <c r="B37" s="17" t="s">
        <v>83</v>
      </c>
      <c r="C37" s="17" t="s">
        <v>40</v>
      </c>
      <c r="D37" s="18" t="s">
        <v>84</v>
      </c>
      <c r="E37" s="18" t="s">
        <v>589</v>
      </c>
      <c r="F37" s="19"/>
      <c r="G37" s="19"/>
      <c r="H37" s="19"/>
      <c r="I37" s="19"/>
    </row>
    <row r="38" spans="1:9" x14ac:dyDescent="0.25">
      <c r="A38" s="20" t="s">
        <v>291</v>
      </c>
      <c r="B38" s="17" t="s">
        <v>94</v>
      </c>
      <c r="C38" s="17" t="s">
        <v>25</v>
      </c>
      <c r="D38" s="18" t="s">
        <v>95</v>
      </c>
      <c r="E38" s="18" t="s">
        <v>588</v>
      </c>
      <c r="F38" s="21"/>
      <c r="G38" s="21"/>
      <c r="H38" s="21"/>
      <c r="I38" s="21"/>
    </row>
    <row r="39" spans="1:9" x14ac:dyDescent="0.25">
      <c r="A39" s="20" t="s">
        <v>124</v>
      </c>
      <c r="B39" s="17" t="s">
        <v>97</v>
      </c>
      <c r="C39" s="17" t="s">
        <v>98</v>
      </c>
      <c r="D39" s="18" t="s">
        <v>99</v>
      </c>
      <c r="E39" s="18" t="s">
        <v>266</v>
      </c>
      <c r="F39" s="22"/>
      <c r="G39" s="22"/>
      <c r="H39" s="22"/>
      <c r="I39" s="22"/>
    </row>
    <row r="40" spans="1:9" x14ac:dyDescent="0.25">
      <c r="A40" s="20" t="s">
        <v>125</v>
      </c>
      <c r="B40" s="17" t="s">
        <v>101</v>
      </c>
      <c r="C40" s="17" t="s">
        <v>102</v>
      </c>
      <c r="D40" s="18" t="s">
        <v>103</v>
      </c>
      <c r="E40" s="18" t="s">
        <v>588</v>
      </c>
      <c r="F40" s="22"/>
      <c r="G40" s="22"/>
      <c r="H40" s="22"/>
      <c r="I40" s="22"/>
    </row>
    <row r="41" spans="1:9" x14ac:dyDescent="0.25">
      <c r="A41" s="20" t="s">
        <v>148</v>
      </c>
      <c r="B41" s="17" t="s">
        <v>144</v>
      </c>
      <c r="C41" s="17" t="s">
        <v>145</v>
      </c>
      <c r="D41" s="18"/>
      <c r="E41" s="18" t="s">
        <v>588</v>
      </c>
      <c r="F41" s="22"/>
      <c r="G41" s="22"/>
      <c r="H41" s="22"/>
      <c r="I41" s="22"/>
    </row>
    <row r="42" spans="1:9" ht="30" x14ac:dyDescent="0.25">
      <c r="A42" s="20" t="s">
        <v>126</v>
      </c>
      <c r="B42" s="17" t="s">
        <v>107</v>
      </c>
      <c r="C42" s="17" t="s">
        <v>242</v>
      </c>
      <c r="D42" s="18" t="s">
        <v>110</v>
      </c>
      <c r="E42" s="18" t="s">
        <v>588</v>
      </c>
      <c r="F42" s="22"/>
      <c r="G42" s="22"/>
      <c r="H42" s="22"/>
      <c r="I42" s="22"/>
    </row>
    <row r="43" spans="1:9" ht="30" x14ac:dyDescent="0.25">
      <c r="A43" s="20" t="s">
        <v>127</v>
      </c>
      <c r="B43" s="17" t="s">
        <v>109</v>
      </c>
      <c r="C43" s="17" t="s">
        <v>112</v>
      </c>
      <c r="D43" s="18" t="s">
        <v>111</v>
      </c>
      <c r="E43" s="18" t="s">
        <v>588</v>
      </c>
      <c r="F43" s="22"/>
      <c r="G43" s="22"/>
      <c r="H43" s="22"/>
      <c r="I43" s="22"/>
    </row>
    <row r="44" spans="1:9" ht="45" x14ac:dyDescent="0.25">
      <c r="A44" s="16" t="s">
        <v>397</v>
      </c>
      <c r="B44" s="17" t="s">
        <v>104</v>
      </c>
      <c r="C44" s="17" t="s">
        <v>105</v>
      </c>
      <c r="D44" s="18" t="s">
        <v>415</v>
      </c>
      <c r="E44" s="18" t="s">
        <v>588</v>
      </c>
      <c r="F44" s="22"/>
      <c r="G44" s="22"/>
      <c r="H44" s="22"/>
      <c r="I44" s="22"/>
    </row>
    <row r="45" spans="1:9" x14ac:dyDescent="0.25">
      <c r="A45" s="20" t="s">
        <v>431</v>
      </c>
      <c r="B45" s="17" t="s">
        <v>425</v>
      </c>
      <c r="C45" s="17" t="s">
        <v>105</v>
      </c>
      <c r="D45" s="18"/>
      <c r="E45" s="18" t="s">
        <v>588</v>
      </c>
      <c r="F45" s="22"/>
      <c r="G45" s="22"/>
      <c r="H45" s="22"/>
      <c r="I45" s="22"/>
    </row>
    <row r="46" spans="1:9" x14ac:dyDescent="0.25">
      <c r="A46" s="20" t="s">
        <v>270</v>
      </c>
      <c r="B46" s="17" t="s">
        <v>227</v>
      </c>
      <c r="C46" s="17" t="s">
        <v>226</v>
      </c>
      <c r="D46" s="18" t="s">
        <v>182</v>
      </c>
      <c r="E46" s="18" t="s">
        <v>588</v>
      </c>
      <c r="F46" s="22"/>
      <c r="G46" s="22"/>
      <c r="H46" s="22"/>
      <c r="I46" s="22"/>
    </row>
    <row r="47" spans="1:9" x14ac:dyDescent="0.25">
      <c r="A47" s="3" t="s">
        <v>189</v>
      </c>
      <c r="D47" s="5"/>
      <c r="E47" s="5"/>
    </row>
    <row r="48" spans="1:9" x14ac:dyDescent="0.25">
      <c r="A48" s="20" t="s">
        <v>348</v>
      </c>
      <c r="B48" s="17" t="s">
        <v>128</v>
      </c>
      <c r="C48" s="17" t="s">
        <v>25</v>
      </c>
      <c r="D48" s="18" t="s">
        <v>253</v>
      </c>
      <c r="E48" s="18" t="s">
        <v>588</v>
      </c>
      <c r="F48" s="21">
        <v>0.98</v>
      </c>
      <c r="G48" s="21">
        <v>0.98</v>
      </c>
      <c r="H48" s="21">
        <v>0.98</v>
      </c>
      <c r="I48" s="21">
        <v>0.98</v>
      </c>
    </row>
    <row r="49" spans="1:9" x14ac:dyDescent="0.25">
      <c r="A49" s="20" t="s">
        <v>349</v>
      </c>
      <c r="B49" s="17" t="s">
        <v>130</v>
      </c>
      <c r="C49" s="17" t="s">
        <v>25</v>
      </c>
      <c r="D49" s="18" t="s">
        <v>129</v>
      </c>
      <c r="E49" s="18" t="s">
        <v>588</v>
      </c>
      <c r="F49" s="21">
        <v>0.95</v>
      </c>
      <c r="G49" s="21">
        <v>0.95</v>
      </c>
      <c r="H49" s="21">
        <v>0.95</v>
      </c>
      <c r="I49" s="21">
        <v>0.95</v>
      </c>
    </row>
    <row r="50" spans="1:9" x14ac:dyDescent="0.25">
      <c r="A50" s="20" t="s">
        <v>350</v>
      </c>
      <c r="B50" s="17" t="s">
        <v>131</v>
      </c>
      <c r="C50" s="17" t="s">
        <v>25</v>
      </c>
      <c r="D50" s="18" t="s">
        <v>254</v>
      </c>
      <c r="E50" s="18" t="s">
        <v>588</v>
      </c>
      <c r="F50" s="25">
        <v>0.99990000000000001</v>
      </c>
      <c r="G50" s="25">
        <v>0.99990000000000001</v>
      </c>
      <c r="H50" s="25">
        <v>0.99990000000000001</v>
      </c>
      <c r="I50" s="25">
        <v>0.99990000000000001</v>
      </c>
    </row>
    <row r="51" spans="1:9" x14ac:dyDescent="0.25">
      <c r="A51" s="20" t="s">
        <v>351</v>
      </c>
      <c r="B51" s="17" t="s">
        <v>97</v>
      </c>
      <c r="C51" s="17" t="s">
        <v>98</v>
      </c>
      <c r="D51" s="18" t="s">
        <v>133</v>
      </c>
      <c r="E51" s="18" t="s">
        <v>266</v>
      </c>
      <c r="F51" s="22">
        <v>15</v>
      </c>
      <c r="G51" s="22">
        <v>15</v>
      </c>
      <c r="H51" s="22">
        <v>15</v>
      </c>
      <c r="I51" s="22">
        <v>15</v>
      </c>
    </row>
    <row r="52" spans="1:9" x14ac:dyDescent="0.25">
      <c r="A52" s="20" t="s">
        <v>352</v>
      </c>
      <c r="B52" s="17" t="s">
        <v>134</v>
      </c>
      <c r="C52" s="17" t="s">
        <v>40</v>
      </c>
      <c r="D52" s="18" t="s">
        <v>135</v>
      </c>
      <c r="E52" s="18" t="s">
        <v>588</v>
      </c>
      <c r="F52" s="22">
        <v>3000</v>
      </c>
      <c r="G52" s="22">
        <v>3000</v>
      </c>
      <c r="H52" s="22">
        <v>3000</v>
      </c>
      <c r="I52" s="22">
        <v>3000</v>
      </c>
    </row>
    <row r="53" spans="1:9" x14ac:dyDescent="0.25">
      <c r="A53" s="20" t="s">
        <v>353</v>
      </c>
      <c r="B53" s="17" t="s">
        <v>136</v>
      </c>
      <c r="C53" s="17" t="s">
        <v>40</v>
      </c>
      <c r="D53" s="18" t="s">
        <v>137</v>
      </c>
      <c r="E53" s="18" t="s">
        <v>588</v>
      </c>
      <c r="F53" s="22">
        <v>0.5</v>
      </c>
      <c r="G53" s="22">
        <v>0.5</v>
      </c>
      <c r="H53" s="22">
        <v>0.5</v>
      </c>
      <c r="I53" s="22">
        <v>0.5</v>
      </c>
    </row>
    <row r="54" spans="1:9" x14ac:dyDescent="0.25">
      <c r="A54" s="20" t="s">
        <v>354</v>
      </c>
      <c r="B54" s="17" t="s">
        <v>139</v>
      </c>
      <c r="C54" s="17" t="s">
        <v>25</v>
      </c>
      <c r="D54" s="18" t="s">
        <v>140</v>
      </c>
      <c r="E54" s="18" t="s">
        <v>588</v>
      </c>
      <c r="F54" s="26">
        <v>0.2</v>
      </c>
      <c r="G54" s="26">
        <v>0.2</v>
      </c>
      <c r="H54" s="26">
        <v>0.2</v>
      </c>
      <c r="I54" s="26">
        <v>0.2</v>
      </c>
    </row>
    <row r="55" spans="1:9" x14ac:dyDescent="0.25">
      <c r="A55" s="20" t="s">
        <v>355</v>
      </c>
      <c r="B55" s="17" t="s">
        <v>101</v>
      </c>
      <c r="C55" s="17" t="s">
        <v>141</v>
      </c>
      <c r="D55" s="18" t="s">
        <v>142</v>
      </c>
      <c r="E55" s="18" t="s">
        <v>588</v>
      </c>
      <c r="F55" s="22">
        <v>400</v>
      </c>
      <c r="G55" s="22">
        <v>400</v>
      </c>
      <c r="H55" s="22">
        <v>400</v>
      </c>
      <c r="I55" s="22">
        <v>400</v>
      </c>
    </row>
    <row r="56" spans="1:9" x14ac:dyDescent="0.25">
      <c r="A56" s="20" t="s">
        <v>356</v>
      </c>
      <c r="B56" s="17" t="s">
        <v>144</v>
      </c>
      <c r="C56" s="17" t="s">
        <v>145</v>
      </c>
      <c r="D56" s="18"/>
      <c r="E56" s="18" t="s">
        <v>588</v>
      </c>
      <c r="F56" s="22">
        <v>2000</v>
      </c>
      <c r="G56" s="22">
        <v>2000</v>
      </c>
      <c r="H56" s="22">
        <v>2000</v>
      </c>
      <c r="I56" s="22">
        <v>2000</v>
      </c>
    </row>
    <row r="57" spans="1:9" x14ac:dyDescent="0.25">
      <c r="A57" s="20" t="s">
        <v>357</v>
      </c>
      <c r="B57" s="17" t="s">
        <v>107</v>
      </c>
      <c r="C57" s="17" t="s">
        <v>242</v>
      </c>
      <c r="D57" s="18"/>
      <c r="E57" s="18" t="s">
        <v>588</v>
      </c>
      <c r="F57" s="22"/>
      <c r="G57" s="22"/>
      <c r="H57" s="22"/>
      <c r="I57" s="22"/>
    </row>
    <row r="58" spans="1:9" x14ac:dyDescent="0.25">
      <c r="A58" s="20" t="s">
        <v>358</v>
      </c>
      <c r="B58" s="17" t="s">
        <v>109</v>
      </c>
      <c r="C58" s="17" t="s">
        <v>112</v>
      </c>
      <c r="D58" s="18"/>
      <c r="E58" s="18" t="s">
        <v>588</v>
      </c>
      <c r="F58" s="22"/>
      <c r="G58" s="22"/>
      <c r="H58" s="22"/>
      <c r="I58" s="22"/>
    </row>
    <row r="59" spans="1:9" x14ac:dyDescent="0.25">
      <c r="A59" s="20" t="s">
        <v>384</v>
      </c>
      <c r="B59" s="17" t="s">
        <v>138</v>
      </c>
      <c r="C59" s="17" t="s">
        <v>23</v>
      </c>
      <c r="D59" s="18"/>
      <c r="E59" s="18" t="s">
        <v>588</v>
      </c>
      <c r="F59" s="22"/>
      <c r="G59" s="22"/>
      <c r="H59" s="22"/>
      <c r="I59" s="22"/>
    </row>
    <row r="60" spans="1:9" x14ac:dyDescent="0.25">
      <c r="A60" s="20" t="s">
        <v>435</v>
      </c>
      <c r="B60" s="17" t="s">
        <v>425</v>
      </c>
      <c r="C60" s="17" t="s">
        <v>23</v>
      </c>
      <c r="D60" s="18"/>
      <c r="E60" s="18" t="s">
        <v>588</v>
      </c>
      <c r="F60" s="22"/>
      <c r="G60" s="22"/>
      <c r="H60" s="22"/>
      <c r="I60" s="22"/>
    </row>
    <row r="61" spans="1:9" x14ac:dyDescent="0.25">
      <c r="A61" s="20" t="s">
        <v>359</v>
      </c>
      <c r="B61" s="17" t="s">
        <v>229</v>
      </c>
      <c r="C61" s="17" t="s">
        <v>228</v>
      </c>
      <c r="D61" s="18" t="s">
        <v>251</v>
      </c>
      <c r="E61" s="18" t="s">
        <v>588</v>
      </c>
      <c r="F61" s="22">
        <v>230</v>
      </c>
      <c r="G61" s="22">
        <v>230</v>
      </c>
      <c r="H61" s="22">
        <v>230</v>
      </c>
      <c r="I61" s="22">
        <v>230</v>
      </c>
    </row>
    <row r="62" spans="1:9" x14ac:dyDescent="0.25">
      <c r="A62" s="3" t="s">
        <v>188</v>
      </c>
      <c r="D62" s="5"/>
      <c r="E62" s="5"/>
    </row>
    <row r="63" spans="1:9" x14ac:dyDescent="0.25">
      <c r="A63" s="20" t="s">
        <v>191</v>
      </c>
      <c r="B63" s="17" t="s">
        <v>83</v>
      </c>
      <c r="C63" s="17" t="s">
        <v>40</v>
      </c>
      <c r="D63" s="18" t="s">
        <v>84</v>
      </c>
      <c r="E63" s="18" t="s">
        <v>589</v>
      </c>
      <c r="F63" s="22" t="s">
        <v>86</v>
      </c>
      <c r="G63" s="22" t="s">
        <v>86</v>
      </c>
      <c r="H63" s="22" t="s">
        <v>86</v>
      </c>
      <c r="I63" s="22" t="s">
        <v>86</v>
      </c>
    </row>
    <row r="64" spans="1:9" ht="30" x14ac:dyDescent="0.25">
      <c r="A64" s="20" t="s">
        <v>215</v>
      </c>
      <c r="B64" s="17" t="s">
        <v>219</v>
      </c>
      <c r="C64" s="17"/>
      <c r="D64" s="18" t="s">
        <v>225</v>
      </c>
      <c r="E64" s="18" t="s">
        <v>589</v>
      </c>
      <c r="F64" s="26" t="s">
        <v>222</v>
      </c>
      <c r="G64" s="21" t="s">
        <v>222</v>
      </c>
      <c r="H64" s="21" t="s">
        <v>222</v>
      </c>
      <c r="I64" s="21" t="s">
        <v>222</v>
      </c>
    </row>
    <row r="65" spans="1:9" x14ac:dyDescent="0.25">
      <c r="A65" s="20" t="s">
        <v>192</v>
      </c>
      <c r="B65" s="17" t="s">
        <v>97</v>
      </c>
      <c r="C65" s="17" t="s">
        <v>98</v>
      </c>
      <c r="D65" s="18" t="s">
        <v>99</v>
      </c>
      <c r="E65" s="18" t="s">
        <v>266</v>
      </c>
      <c r="F65" s="22">
        <v>25</v>
      </c>
      <c r="G65" s="22">
        <v>25</v>
      </c>
      <c r="H65" s="22">
        <v>25</v>
      </c>
      <c r="I65" s="22">
        <v>25</v>
      </c>
    </row>
    <row r="66" spans="1:9" x14ac:dyDescent="0.25">
      <c r="A66" s="20" t="s">
        <v>193</v>
      </c>
      <c r="B66" s="17" t="s">
        <v>101</v>
      </c>
      <c r="C66" s="17" t="s">
        <v>102</v>
      </c>
      <c r="D66" s="18"/>
      <c r="E66" s="18" t="s">
        <v>588</v>
      </c>
      <c r="F66" s="22">
        <v>0</v>
      </c>
      <c r="G66" s="22">
        <v>0</v>
      </c>
      <c r="H66" s="22">
        <v>0</v>
      </c>
      <c r="I66" s="22">
        <v>0</v>
      </c>
    </row>
    <row r="67" spans="1:9" x14ac:dyDescent="0.25">
      <c r="A67" s="20" t="s">
        <v>194</v>
      </c>
      <c r="B67" s="17" t="s">
        <v>144</v>
      </c>
      <c r="C67" s="17" t="s">
        <v>145</v>
      </c>
      <c r="D67" s="18"/>
      <c r="E67" s="18" t="s">
        <v>588</v>
      </c>
      <c r="F67" s="22">
        <v>0</v>
      </c>
      <c r="G67" s="22">
        <v>0</v>
      </c>
      <c r="H67" s="22">
        <v>0</v>
      </c>
      <c r="I67" s="22">
        <v>0</v>
      </c>
    </row>
    <row r="68" spans="1:9" ht="30" x14ac:dyDescent="0.25">
      <c r="A68" s="20" t="s">
        <v>195</v>
      </c>
      <c r="B68" s="17" t="s">
        <v>107</v>
      </c>
      <c r="C68" s="17" t="s">
        <v>242</v>
      </c>
      <c r="D68" s="18" t="s">
        <v>110</v>
      </c>
      <c r="E68" s="18" t="s">
        <v>588</v>
      </c>
      <c r="F68" s="22">
        <v>0</v>
      </c>
      <c r="G68" s="22">
        <v>0</v>
      </c>
      <c r="H68" s="22">
        <v>0</v>
      </c>
      <c r="I68" s="22">
        <v>0</v>
      </c>
    </row>
    <row r="69" spans="1:9" ht="30" x14ac:dyDescent="0.25">
      <c r="A69" s="20" t="s">
        <v>196</v>
      </c>
      <c r="B69" s="17" t="s">
        <v>109</v>
      </c>
      <c r="C69" s="17" t="s">
        <v>112</v>
      </c>
      <c r="D69" s="18" t="s">
        <v>111</v>
      </c>
      <c r="E69" s="18" t="s">
        <v>588</v>
      </c>
      <c r="F69" s="22">
        <v>0</v>
      </c>
      <c r="G69" s="22">
        <v>0</v>
      </c>
      <c r="H69" s="22">
        <v>0</v>
      </c>
      <c r="I69" s="22">
        <v>0</v>
      </c>
    </row>
    <row r="70" spans="1:9" x14ac:dyDescent="0.25">
      <c r="A70" s="20" t="s">
        <v>391</v>
      </c>
      <c r="B70" s="17" t="s">
        <v>104</v>
      </c>
      <c r="C70" s="17" t="s">
        <v>105</v>
      </c>
      <c r="D70" s="18"/>
      <c r="E70" s="18" t="s">
        <v>588</v>
      </c>
      <c r="F70" s="22">
        <v>0</v>
      </c>
      <c r="G70" s="22">
        <v>0</v>
      </c>
      <c r="H70" s="22">
        <v>0</v>
      </c>
      <c r="I70" s="22">
        <v>0</v>
      </c>
    </row>
    <row r="71" spans="1:9" x14ac:dyDescent="0.25">
      <c r="A71" s="27" t="s">
        <v>436</v>
      </c>
      <c r="B71" s="17" t="s">
        <v>425</v>
      </c>
      <c r="C71" s="17" t="s">
        <v>105</v>
      </c>
      <c r="D71" s="18"/>
      <c r="E71" s="18" t="s">
        <v>588</v>
      </c>
      <c r="F71" s="22"/>
      <c r="G71" s="22"/>
      <c r="H71" s="22"/>
      <c r="I71" s="22"/>
    </row>
    <row r="72" spans="1:9" x14ac:dyDescent="0.25">
      <c r="A72" s="20" t="s">
        <v>271</v>
      </c>
      <c r="B72" s="17" t="s">
        <v>227</v>
      </c>
      <c r="C72" s="17" t="s">
        <v>230</v>
      </c>
      <c r="D72" s="18" t="s">
        <v>250</v>
      </c>
      <c r="E72" s="18" t="s">
        <v>588</v>
      </c>
      <c r="F72" s="22">
        <v>100</v>
      </c>
      <c r="G72" s="22">
        <v>100</v>
      </c>
      <c r="H72" s="22">
        <v>100</v>
      </c>
      <c r="I72" s="22">
        <v>100</v>
      </c>
    </row>
    <row r="73" spans="1:9" x14ac:dyDescent="0.25">
      <c r="A73" s="3" t="s">
        <v>447</v>
      </c>
      <c r="D73" s="5"/>
      <c r="E73" s="5"/>
    </row>
    <row r="74" spans="1:9" x14ac:dyDescent="0.25">
      <c r="A74" s="20" t="s">
        <v>197</v>
      </c>
      <c r="B74" s="17" t="s">
        <v>83</v>
      </c>
      <c r="C74" s="17" t="s">
        <v>40</v>
      </c>
      <c r="D74" s="18" t="s">
        <v>84</v>
      </c>
      <c r="E74" s="18" t="s">
        <v>589</v>
      </c>
      <c r="F74" s="22"/>
      <c r="G74" s="22"/>
      <c r="H74" s="22"/>
      <c r="I74" s="22"/>
    </row>
    <row r="75" spans="1:9" ht="30" x14ac:dyDescent="0.25">
      <c r="A75" s="20" t="s">
        <v>216</v>
      </c>
      <c r="B75" s="17" t="s">
        <v>219</v>
      </c>
      <c r="C75" s="17"/>
      <c r="D75" s="18" t="s">
        <v>225</v>
      </c>
      <c r="E75" s="18" t="s">
        <v>589</v>
      </c>
      <c r="F75" s="21"/>
      <c r="G75" s="21"/>
      <c r="H75" s="21"/>
      <c r="I75" s="21"/>
    </row>
    <row r="76" spans="1:9" x14ac:dyDescent="0.25">
      <c r="A76" s="20" t="s">
        <v>198</v>
      </c>
      <c r="B76" s="17" t="s">
        <v>97</v>
      </c>
      <c r="C76" s="17" t="s">
        <v>98</v>
      </c>
      <c r="D76" s="18" t="s">
        <v>99</v>
      </c>
      <c r="E76" s="18" t="s">
        <v>266</v>
      </c>
      <c r="F76" s="22"/>
      <c r="G76" s="22"/>
      <c r="H76" s="22"/>
      <c r="I76" s="22"/>
    </row>
    <row r="77" spans="1:9" x14ac:dyDescent="0.25">
      <c r="A77" s="20" t="s">
        <v>199</v>
      </c>
      <c r="B77" s="17" t="s">
        <v>101</v>
      </c>
      <c r="C77" s="17" t="s">
        <v>102</v>
      </c>
      <c r="D77" s="18" t="s">
        <v>103</v>
      </c>
      <c r="E77" s="18" t="s">
        <v>588</v>
      </c>
      <c r="F77" s="22"/>
      <c r="G77" s="22"/>
      <c r="H77" s="22"/>
      <c r="I77" s="22"/>
    </row>
    <row r="78" spans="1:9" x14ac:dyDescent="0.25">
      <c r="A78" s="20" t="s">
        <v>200</v>
      </c>
      <c r="B78" s="17" t="s">
        <v>144</v>
      </c>
      <c r="C78" s="17" t="s">
        <v>145</v>
      </c>
      <c r="D78" s="18"/>
      <c r="E78" s="18" t="s">
        <v>588</v>
      </c>
      <c r="F78" s="22"/>
      <c r="G78" s="22"/>
      <c r="H78" s="22"/>
      <c r="I78" s="22"/>
    </row>
    <row r="79" spans="1:9" ht="30" x14ac:dyDescent="0.25">
      <c r="A79" s="20" t="s">
        <v>201</v>
      </c>
      <c r="B79" s="17" t="s">
        <v>107</v>
      </c>
      <c r="C79" s="17" t="s">
        <v>242</v>
      </c>
      <c r="D79" s="18" t="s">
        <v>110</v>
      </c>
      <c r="E79" s="18" t="s">
        <v>588</v>
      </c>
      <c r="F79" s="22"/>
      <c r="G79" s="22"/>
      <c r="H79" s="22"/>
      <c r="I79" s="22"/>
    </row>
    <row r="80" spans="1:9" ht="30" x14ac:dyDescent="0.25">
      <c r="A80" s="20" t="s">
        <v>202</v>
      </c>
      <c r="B80" s="17" t="s">
        <v>109</v>
      </c>
      <c r="C80" s="17" t="s">
        <v>112</v>
      </c>
      <c r="D80" s="18" t="s">
        <v>111</v>
      </c>
      <c r="E80" s="18" t="s">
        <v>588</v>
      </c>
      <c r="F80" s="22"/>
      <c r="G80" s="22"/>
      <c r="H80" s="22"/>
      <c r="I80" s="22"/>
    </row>
    <row r="81" spans="1:9" x14ac:dyDescent="0.25">
      <c r="A81" s="20" t="s">
        <v>392</v>
      </c>
      <c r="B81" s="17" t="s">
        <v>104</v>
      </c>
      <c r="C81" s="17" t="s">
        <v>105</v>
      </c>
      <c r="D81" s="18"/>
      <c r="E81" s="18" t="s">
        <v>588</v>
      </c>
      <c r="F81" s="22"/>
      <c r="G81" s="22"/>
      <c r="H81" s="22"/>
      <c r="I81" s="22"/>
    </row>
    <row r="82" spans="1:9" x14ac:dyDescent="0.25">
      <c r="A82" s="27" t="s">
        <v>438</v>
      </c>
      <c r="B82" s="17" t="s">
        <v>425</v>
      </c>
      <c r="C82" s="17" t="s">
        <v>105</v>
      </c>
      <c r="D82" s="18"/>
      <c r="E82" s="18" t="s">
        <v>588</v>
      </c>
      <c r="F82" s="22"/>
      <c r="G82" s="22"/>
      <c r="H82" s="22"/>
      <c r="I82" s="22"/>
    </row>
    <row r="83" spans="1:9" x14ac:dyDescent="0.25">
      <c r="A83" s="20" t="s">
        <v>426</v>
      </c>
      <c r="B83" s="17" t="s">
        <v>227</v>
      </c>
      <c r="C83" s="17" t="s">
        <v>230</v>
      </c>
      <c r="D83" s="18" t="s">
        <v>250</v>
      </c>
      <c r="E83" s="18" t="s">
        <v>588</v>
      </c>
      <c r="F83" s="22"/>
      <c r="G83" s="22"/>
      <c r="H83" s="22"/>
      <c r="I83" s="22"/>
    </row>
    <row r="84" spans="1:9" x14ac:dyDescent="0.25">
      <c r="A84" s="3" t="s">
        <v>448</v>
      </c>
      <c r="D84" s="5"/>
      <c r="E84" s="5"/>
    </row>
    <row r="85" spans="1:9" x14ac:dyDescent="0.25">
      <c r="A85" s="20" t="s">
        <v>203</v>
      </c>
      <c r="B85" s="17" t="s">
        <v>83</v>
      </c>
      <c r="C85" s="17" t="s">
        <v>40</v>
      </c>
      <c r="D85" s="18" t="s">
        <v>84</v>
      </c>
      <c r="E85" s="18" t="s">
        <v>589</v>
      </c>
      <c r="F85" s="22"/>
      <c r="G85" s="22"/>
      <c r="H85" s="22"/>
      <c r="I85" s="22"/>
    </row>
    <row r="86" spans="1:9" ht="30" x14ac:dyDescent="0.25">
      <c r="A86" s="20" t="s">
        <v>217</v>
      </c>
      <c r="B86" s="17" t="s">
        <v>219</v>
      </c>
      <c r="C86" s="17"/>
      <c r="D86" s="18" t="s">
        <v>225</v>
      </c>
      <c r="E86" s="18" t="s">
        <v>589</v>
      </c>
      <c r="F86" s="21"/>
      <c r="G86" s="21"/>
      <c r="H86" s="21"/>
      <c r="I86" s="21"/>
    </row>
    <row r="87" spans="1:9" x14ac:dyDescent="0.25">
      <c r="A87" s="20" t="s">
        <v>204</v>
      </c>
      <c r="B87" s="17" t="s">
        <v>97</v>
      </c>
      <c r="C87" s="17" t="s">
        <v>98</v>
      </c>
      <c r="D87" s="18" t="s">
        <v>99</v>
      </c>
      <c r="E87" s="18" t="s">
        <v>266</v>
      </c>
      <c r="F87" s="22"/>
      <c r="G87" s="22"/>
      <c r="H87" s="22"/>
      <c r="I87" s="22"/>
    </row>
    <row r="88" spans="1:9" x14ac:dyDescent="0.25">
      <c r="A88" s="20" t="s">
        <v>205</v>
      </c>
      <c r="B88" s="17" t="s">
        <v>101</v>
      </c>
      <c r="C88" s="17" t="s">
        <v>102</v>
      </c>
      <c r="D88" s="18" t="s">
        <v>103</v>
      </c>
      <c r="E88" s="18" t="s">
        <v>588</v>
      </c>
      <c r="F88" s="22"/>
      <c r="G88" s="22"/>
      <c r="H88" s="22"/>
      <c r="I88" s="22"/>
    </row>
    <row r="89" spans="1:9" x14ac:dyDescent="0.25">
      <c r="A89" s="20" t="s">
        <v>206</v>
      </c>
      <c r="B89" s="17" t="s">
        <v>144</v>
      </c>
      <c r="C89" s="17" t="s">
        <v>145</v>
      </c>
      <c r="D89" s="18"/>
      <c r="E89" s="18" t="s">
        <v>588</v>
      </c>
      <c r="F89" s="22"/>
      <c r="G89" s="22"/>
      <c r="H89" s="22"/>
      <c r="I89" s="22"/>
    </row>
    <row r="90" spans="1:9" ht="30" x14ac:dyDescent="0.25">
      <c r="A90" s="20" t="s">
        <v>207</v>
      </c>
      <c r="B90" s="17" t="s">
        <v>107</v>
      </c>
      <c r="C90" s="17" t="s">
        <v>242</v>
      </c>
      <c r="D90" s="18" t="s">
        <v>110</v>
      </c>
      <c r="E90" s="18" t="s">
        <v>588</v>
      </c>
      <c r="F90" s="22"/>
      <c r="G90" s="22"/>
      <c r="H90" s="22"/>
      <c r="I90" s="22"/>
    </row>
    <row r="91" spans="1:9" ht="30" x14ac:dyDescent="0.25">
      <c r="A91" s="20" t="s">
        <v>208</v>
      </c>
      <c r="B91" s="17" t="s">
        <v>109</v>
      </c>
      <c r="C91" s="17" t="s">
        <v>112</v>
      </c>
      <c r="D91" s="18" t="s">
        <v>111</v>
      </c>
      <c r="E91" s="18" t="s">
        <v>588</v>
      </c>
      <c r="F91" s="22"/>
      <c r="G91" s="22"/>
      <c r="H91" s="22"/>
      <c r="I91" s="22"/>
    </row>
    <row r="92" spans="1:9" x14ac:dyDescent="0.25">
      <c r="A92" s="20" t="s">
        <v>393</v>
      </c>
      <c r="B92" s="17" t="s">
        <v>104</v>
      </c>
      <c r="C92" s="17" t="s">
        <v>105</v>
      </c>
      <c r="D92" s="18"/>
      <c r="E92" s="18" t="s">
        <v>588</v>
      </c>
      <c r="F92" s="22"/>
      <c r="G92" s="22"/>
      <c r="H92" s="22"/>
      <c r="I92" s="22"/>
    </row>
    <row r="93" spans="1:9" x14ac:dyDescent="0.25">
      <c r="A93" s="27" t="s">
        <v>437</v>
      </c>
      <c r="B93" s="17" t="s">
        <v>425</v>
      </c>
      <c r="C93" s="17" t="s">
        <v>105</v>
      </c>
      <c r="D93" s="18"/>
      <c r="E93" s="18" t="s">
        <v>588</v>
      </c>
      <c r="F93" s="22"/>
      <c r="G93" s="22"/>
      <c r="H93" s="22"/>
      <c r="I93" s="22"/>
    </row>
    <row r="94" spans="1:9" x14ac:dyDescent="0.25">
      <c r="A94" s="20" t="s">
        <v>427</v>
      </c>
      <c r="B94" s="17" t="s">
        <v>227</v>
      </c>
      <c r="C94" s="17" t="s">
        <v>230</v>
      </c>
      <c r="D94" s="18" t="s">
        <v>250</v>
      </c>
      <c r="E94" s="18" t="s">
        <v>588</v>
      </c>
      <c r="F94" s="22"/>
      <c r="G94" s="22"/>
      <c r="H94" s="22"/>
      <c r="I94" s="22"/>
    </row>
    <row r="95" spans="1:9" x14ac:dyDescent="0.25">
      <c r="A95" s="3" t="s">
        <v>449</v>
      </c>
      <c r="D95" s="5"/>
      <c r="E95" s="5"/>
    </row>
    <row r="96" spans="1:9" x14ac:dyDescent="0.25">
      <c r="A96" s="20" t="s">
        <v>209</v>
      </c>
      <c r="B96" s="17" t="s">
        <v>83</v>
      </c>
      <c r="C96" s="17" t="s">
        <v>40</v>
      </c>
      <c r="D96" s="18" t="s">
        <v>84</v>
      </c>
      <c r="E96" s="18" t="s">
        <v>589</v>
      </c>
      <c r="F96" s="22"/>
      <c r="G96" s="22"/>
      <c r="H96" s="22"/>
      <c r="I96" s="22"/>
    </row>
    <row r="97" spans="1:9" ht="30" x14ac:dyDescent="0.25">
      <c r="A97" s="20" t="s">
        <v>218</v>
      </c>
      <c r="B97" s="17" t="s">
        <v>219</v>
      </c>
      <c r="C97" s="17"/>
      <c r="D97" s="18" t="s">
        <v>225</v>
      </c>
      <c r="E97" s="18" t="s">
        <v>589</v>
      </c>
      <c r="F97" s="21"/>
      <c r="G97" s="21"/>
      <c r="H97" s="21"/>
      <c r="I97" s="21"/>
    </row>
    <row r="98" spans="1:9" x14ac:dyDescent="0.25">
      <c r="A98" s="20" t="s">
        <v>210</v>
      </c>
      <c r="B98" s="17" t="s">
        <v>97</v>
      </c>
      <c r="C98" s="17" t="s">
        <v>98</v>
      </c>
      <c r="D98" s="18" t="s">
        <v>99</v>
      </c>
      <c r="E98" s="18" t="s">
        <v>266</v>
      </c>
      <c r="F98" s="22"/>
      <c r="G98" s="22"/>
      <c r="H98" s="22"/>
      <c r="I98" s="22"/>
    </row>
    <row r="99" spans="1:9" x14ac:dyDescent="0.25">
      <c r="A99" s="20" t="s">
        <v>211</v>
      </c>
      <c r="B99" s="17" t="s">
        <v>101</v>
      </c>
      <c r="C99" s="17" t="s">
        <v>102</v>
      </c>
      <c r="D99" s="18" t="s">
        <v>103</v>
      </c>
      <c r="E99" s="18" t="s">
        <v>588</v>
      </c>
      <c r="F99" s="22"/>
      <c r="G99" s="22"/>
      <c r="H99" s="22"/>
      <c r="I99" s="22"/>
    </row>
    <row r="100" spans="1:9" x14ac:dyDescent="0.25">
      <c r="A100" s="20" t="s">
        <v>212</v>
      </c>
      <c r="B100" s="17" t="s">
        <v>144</v>
      </c>
      <c r="C100" s="17" t="s">
        <v>145</v>
      </c>
      <c r="D100" s="18"/>
      <c r="E100" s="18" t="s">
        <v>588</v>
      </c>
      <c r="F100" s="22"/>
      <c r="G100" s="22"/>
      <c r="H100" s="22"/>
      <c r="I100" s="22"/>
    </row>
    <row r="101" spans="1:9" ht="30" x14ac:dyDescent="0.25">
      <c r="A101" s="20" t="s">
        <v>213</v>
      </c>
      <c r="B101" s="17" t="s">
        <v>107</v>
      </c>
      <c r="C101" s="17" t="s">
        <v>242</v>
      </c>
      <c r="D101" s="18" t="s">
        <v>110</v>
      </c>
      <c r="E101" s="18" t="s">
        <v>588</v>
      </c>
      <c r="F101" s="22"/>
      <c r="G101" s="22"/>
      <c r="H101" s="22"/>
      <c r="I101" s="22"/>
    </row>
    <row r="102" spans="1:9" ht="30" x14ac:dyDescent="0.25">
      <c r="A102" s="20" t="s">
        <v>214</v>
      </c>
      <c r="B102" s="17" t="s">
        <v>109</v>
      </c>
      <c r="C102" s="17" t="s">
        <v>112</v>
      </c>
      <c r="D102" s="18" t="s">
        <v>111</v>
      </c>
      <c r="E102" s="18" t="s">
        <v>588</v>
      </c>
      <c r="F102" s="22"/>
      <c r="G102" s="22"/>
      <c r="H102" s="22"/>
      <c r="I102" s="22"/>
    </row>
    <row r="103" spans="1:9" x14ac:dyDescent="0.25">
      <c r="A103" s="20" t="s">
        <v>390</v>
      </c>
      <c r="B103" s="17" t="s">
        <v>104</v>
      </c>
      <c r="C103" s="17" t="s">
        <v>105</v>
      </c>
      <c r="D103" s="18"/>
      <c r="E103" s="18" t="s">
        <v>588</v>
      </c>
      <c r="F103" s="22"/>
      <c r="G103" s="22"/>
      <c r="H103" s="22"/>
      <c r="I103" s="22"/>
    </row>
    <row r="104" spans="1:9" x14ac:dyDescent="0.25">
      <c r="A104" s="27" t="s">
        <v>439</v>
      </c>
      <c r="B104" s="17" t="s">
        <v>425</v>
      </c>
      <c r="C104" s="17" t="s">
        <v>105</v>
      </c>
      <c r="D104" s="18"/>
      <c r="E104" s="18" t="s">
        <v>588</v>
      </c>
      <c r="F104" s="22"/>
      <c r="G104" s="22"/>
      <c r="H104" s="22"/>
      <c r="I104" s="22"/>
    </row>
    <row r="105" spans="1:9" x14ac:dyDescent="0.25">
      <c r="A105" s="20" t="s">
        <v>428</v>
      </c>
      <c r="B105" s="17" t="s">
        <v>227</v>
      </c>
      <c r="C105" s="17" t="s">
        <v>230</v>
      </c>
      <c r="D105" s="18" t="s">
        <v>250</v>
      </c>
      <c r="E105" s="18" t="s">
        <v>588</v>
      </c>
      <c r="F105" s="22"/>
      <c r="G105" s="22"/>
      <c r="H105" s="22"/>
      <c r="I105" s="22"/>
    </row>
    <row r="106" spans="1:9" x14ac:dyDescent="0.25">
      <c r="A106" s="3" t="s">
        <v>237</v>
      </c>
      <c r="D106" s="5"/>
      <c r="E106" s="5"/>
    </row>
    <row r="107" spans="1:9" x14ac:dyDescent="0.25">
      <c r="A107" s="20" t="s">
        <v>319</v>
      </c>
      <c r="B107" s="17" t="s">
        <v>243</v>
      </c>
      <c r="C107" s="17" t="s">
        <v>40</v>
      </c>
      <c r="D107" s="18" t="s">
        <v>244</v>
      </c>
      <c r="E107" s="18" t="s">
        <v>589</v>
      </c>
      <c r="F107" s="21" t="s">
        <v>234</v>
      </c>
      <c r="G107" s="21" t="s">
        <v>234</v>
      </c>
      <c r="H107" s="21" t="s">
        <v>234</v>
      </c>
      <c r="I107" s="21" t="s">
        <v>234</v>
      </c>
    </row>
    <row r="108" spans="1:9" x14ac:dyDescent="0.25">
      <c r="A108" s="20" t="s">
        <v>320</v>
      </c>
      <c r="B108" s="17" t="s">
        <v>97</v>
      </c>
      <c r="C108" s="17" t="s">
        <v>98</v>
      </c>
      <c r="D108" s="18" t="s">
        <v>258</v>
      </c>
      <c r="E108" s="18" t="s">
        <v>266</v>
      </c>
      <c r="F108" s="22">
        <v>15</v>
      </c>
      <c r="G108" s="22">
        <v>15</v>
      </c>
      <c r="H108" s="22">
        <v>15</v>
      </c>
      <c r="I108" s="22">
        <v>15</v>
      </c>
    </row>
    <row r="109" spans="1:9" ht="30" x14ac:dyDescent="0.25">
      <c r="A109" s="20" t="s">
        <v>321</v>
      </c>
      <c r="B109" s="17" t="s">
        <v>101</v>
      </c>
      <c r="C109" s="17" t="s">
        <v>141</v>
      </c>
      <c r="D109" s="18" t="s">
        <v>239</v>
      </c>
      <c r="E109" s="18" t="s">
        <v>588</v>
      </c>
      <c r="F109" s="22">
        <v>1000</v>
      </c>
      <c r="G109" s="22">
        <v>1000</v>
      </c>
      <c r="H109" s="22">
        <v>1000</v>
      </c>
      <c r="I109" s="22">
        <v>1000</v>
      </c>
    </row>
    <row r="110" spans="1:9" ht="30" x14ac:dyDescent="0.25">
      <c r="A110" s="20" t="s">
        <v>322</v>
      </c>
      <c r="B110" s="17" t="s">
        <v>144</v>
      </c>
      <c r="C110" s="17" t="s">
        <v>145</v>
      </c>
      <c r="D110" s="18" t="s">
        <v>241</v>
      </c>
      <c r="E110" s="18" t="s">
        <v>588</v>
      </c>
      <c r="F110" s="22"/>
      <c r="G110" s="22"/>
      <c r="H110" s="22"/>
      <c r="I110" s="22"/>
    </row>
    <row r="111" spans="1:9" x14ac:dyDescent="0.25">
      <c r="A111" s="20" t="s">
        <v>323</v>
      </c>
      <c r="B111" s="17" t="s">
        <v>107</v>
      </c>
      <c r="C111" s="17" t="s">
        <v>242</v>
      </c>
      <c r="D111" s="18" t="s">
        <v>240</v>
      </c>
      <c r="E111" s="18" t="s">
        <v>588</v>
      </c>
      <c r="F111" s="22">
        <f>120000*0.5</f>
        <v>60000</v>
      </c>
      <c r="G111" s="22">
        <f t="shared" ref="G111:I111" si="0">120000*0.5</f>
        <v>60000</v>
      </c>
      <c r="H111" s="22">
        <f t="shared" si="0"/>
        <v>60000</v>
      </c>
      <c r="I111" s="22">
        <f t="shared" si="0"/>
        <v>60000</v>
      </c>
    </row>
    <row r="112" spans="1:9" x14ac:dyDescent="0.25">
      <c r="A112" s="20" t="s">
        <v>324</v>
      </c>
      <c r="B112" s="17" t="s">
        <v>109</v>
      </c>
      <c r="C112" s="17" t="s">
        <v>112</v>
      </c>
      <c r="D112" s="18"/>
      <c r="E112" s="18" t="s">
        <v>588</v>
      </c>
      <c r="F112" s="22"/>
      <c r="G112" s="22"/>
      <c r="H112" s="22"/>
      <c r="I112" s="22"/>
    </row>
    <row r="113" spans="1:9" x14ac:dyDescent="0.25">
      <c r="A113" s="20" t="s">
        <v>389</v>
      </c>
      <c r="B113" s="17" t="s">
        <v>138</v>
      </c>
      <c r="C113" s="17" t="s">
        <v>387</v>
      </c>
      <c r="D113" s="18"/>
      <c r="E113" s="18" t="s">
        <v>588</v>
      </c>
      <c r="F113" s="22">
        <v>0</v>
      </c>
      <c r="G113" s="22"/>
      <c r="H113" s="22"/>
      <c r="I113" s="22"/>
    </row>
    <row r="114" spans="1:9" x14ac:dyDescent="0.25">
      <c r="A114" s="27" t="s">
        <v>440</v>
      </c>
      <c r="B114" s="17" t="s">
        <v>425</v>
      </c>
      <c r="C114" s="17" t="s">
        <v>387</v>
      </c>
      <c r="D114" s="18"/>
      <c r="E114" s="18" t="s">
        <v>588</v>
      </c>
      <c r="F114" s="22"/>
      <c r="G114" s="22"/>
      <c r="H114" s="22"/>
      <c r="I114" s="22"/>
    </row>
    <row r="115" spans="1:9" x14ac:dyDescent="0.25">
      <c r="A115" s="20" t="s">
        <v>325</v>
      </c>
      <c r="B115" s="17" t="s">
        <v>229</v>
      </c>
      <c r="C115" s="17" t="s">
        <v>246</v>
      </c>
      <c r="D115" s="18" t="s">
        <v>249</v>
      </c>
      <c r="E115" s="18" t="s">
        <v>588</v>
      </c>
      <c r="F115" s="22"/>
      <c r="G115" s="22"/>
      <c r="H115" s="22"/>
      <c r="I115" s="22"/>
    </row>
    <row r="116" spans="1:9" x14ac:dyDescent="0.25">
      <c r="A116" s="3" t="s">
        <v>245</v>
      </c>
      <c r="D116" s="5"/>
      <c r="E116" s="5"/>
    </row>
    <row r="117" spans="1:9" x14ac:dyDescent="0.25">
      <c r="A117" s="20" t="s">
        <v>326</v>
      </c>
      <c r="B117" s="17" t="s">
        <v>243</v>
      </c>
      <c r="C117" s="17" t="s">
        <v>40</v>
      </c>
      <c r="D117" s="18" t="s">
        <v>244</v>
      </c>
      <c r="E117" s="18" t="s">
        <v>589</v>
      </c>
      <c r="F117" s="21" t="s">
        <v>233</v>
      </c>
      <c r="G117" s="21" t="s">
        <v>233</v>
      </c>
      <c r="H117" s="21" t="s">
        <v>233</v>
      </c>
      <c r="I117" s="21" t="s">
        <v>233</v>
      </c>
    </row>
    <row r="118" spans="1:9" x14ac:dyDescent="0.25">
      <c r="A118" s="20" t="s">
        <v>327</v>
      </c>
      <c r="B118" s="17" t="s">
        <v>97</v>
      </c>
      <c r="C118" s="17" t="s">
        <v>98</v>
      </c>
      <c r="D118" s="18" t="s">
        <v>258</v>
      </c>
      <c r="E118" s="18" t="s">
        <v>266</v>
      </c>
      <c r="F118" s="22">
        <v>15</v>
      </c>
      <c r="G118" s="22">
        <v>15</v>
      </c>
      <c r="H118" s="22">
        <v>15</v>
      </c>
      <c r="I118" s="22">
        <v>15</v>
      </c>
    </row>
    <row r="119" spans="1:9" ht="30" x14ac:dyDescent="0.25">
      <c r="A119" s="20" t="s">
        <v>328</v>
      </c>
      <c r="B119" s="17" t="s">
        <v>101</v>
      </c>
      <c r="C119" s="17" t="s">
        <v>141</v>
      </c>
      <c r="D119" s="18" t="s">
        <v>239</v>
      </c>
      <c r="E119" s="18" t="s">
        <v>588</v>
      </c>
      <c r="F119" s="22">
        <v>500</v>
      </c>
      <c r="G119" s="22">
        <v>500</v>
      </c>
      <c r="H119" s="22">
        <v>500</v>
      </c>
      <c r="I119" s="22">
        <v>500</v>
      </c>
    </row>
    <row r="120" spans="1:9" ht="30" x14ac:dyDescent="0.25">
      <c r="A120" s="20" t="s">
        <v>329</v>
      </c>
      <c r="B120" s="17" t="s">
        <v>144</v>
      </c>
      <c r="C120" s="17" t="s">
        <v>145</v>
      </c>
      <c r="D120" s="18" t="s">
        <v>241</v>
      </c>
      <c r="E120" s="18" t="s">
        <v>588</v>
      </c>
      <c r="F120" s="22"/>
      <c r="G120" s="22"/>
      <c r="H120" s="22"/>
      <c r="I120" s="22"/>
    </row>
    <row r="121" spans="1:9" x14ac:dyDescent="0.25">
      <c r="A121" s="20" t="s">
        <v>330</v>
      </c>
      <c r="B121" s="17" t="s">
        <v>107</v>
      </c>
      <c r="C121" s="17" t="s">
        <v>242</v>
      </c>
      <c r="D121" s="18" t="s">
        <v>240</v>
      </c>
      <c r="E121" s="18" t="s">
        <v>588</v>
      </c>
      <c r="F121" s="22"/>
      <c r="G121" s="22"/>
      <c r="H121" s="22"/>
      <c r="I121" s="22"/>
    </row>
    <row r="122" spans="1:9" x14ac:dyDescent="0.25">
      <c r="A122" s="20" t="s">
        <v>331</v>
      </c>
      <c r="B122" s="17" t="s">
        <v>109</v>
      </c>
      <c r="C122" s="17" t="s">
        <v>112</v>
      </c>
      <c r="D122" s="18"/>
      <c r="E122" s="18" t="s">
        <v>588</v>
      </c>
      <c r="F122" s="22"/>
      <c r="G122" s="22"/>
      <c r="H122" s="22"/>
      <c r="I122" s="22"/>
    </row>
    <row r="123" spans="1:9" x14ac:dyDescent="0.25">
      <c r="A123" s="20" t="s">
        <v>388</v>
      </c>
      <c r="B123" s="17" t="s">
        <v>138</v>
      </c>
      <c r="C123" s="17" t="s">
        <v>387</v>
      </c>
      <c r="D123" s="18"/>
      <c r="E123" s="18" t="s">
        <v>588</v>
      </c>
      <c r="F123" s="22">
        <v>0</v>
      </c>
      <c r="G123" s="22">
        <v>0</v>
      </c>
      <c r="H123" s="22">
        <v>0</v>
      </c>
      <c r="I123" s="22">
        <v>0</v>
      </c>
    </row>
    <row r="124" spans="1:9" x14ac:dyDescent="0.25">
      <c r="A124" s="20" t="s">
        <v>441</v>
      </c>
      <c r="B124" s="17" t="s">
        <v>425</v>
      </c>
      <c r="C124" s="17" t="s">
        <v>387</v>
      </c>
      <c r="D124" s="18"/>
      <c r="E124" s="18" t="s">
        <v>588</v>
      </c>
      <c r="F124" s="22"/>
      <c r="G124" s="22"/>
      <c r="H124" s="22"/>
      <c r="I124" s="22"/>
    </row>
    <row r="125" spans="1:9" x14ac:dyDescent="0.25">
      <c r="A125" s="20" t="s">
        <v>332</v>
      </c>
      <c r="B125" s="17" t="s">
        <v>229</v>
      </c>
      <c r="C125" s="17" t="s">
        <v>246</v>
      </c>
      <c r="D125" s="18" t="s">
        <v>249</v>
      </c>
      <c r="E125" s="18" t="s">
        <v>588</v>
      </c>
      <c r="F125" s="22"/>
      <c r="G125" s="22"/>
      <c r="H125" s="22"/>
      <c r="I125" s="22"/>
    </row>
    <row r="126" spans="1:9" x14ac:dyDescent="0.25">
      <c r="A126" s="3" t="s">
        <v>185</v>
      </c>
      <c r="D126" s="5"/>
      <c r="E126" s="5"/>
    </row>
    <row r="127" spans="1:9" x14ac:dyDescent="0.25">
      <c r="A127" s="20" t="s">
        <v>333</v>
      </c>
      <c r="B127" s="17" t="s">
        <v>247</v>
      </c>
      <c r="C127" s="17" t="s">
        <v>25</v>
      </c>
      <c r="D127" s="18"/>
      <c r="E127" s="18" t="s">
        <v>588</v>
      </c>
      <c r="F127" s="21">
        <v>0.9</v>
      </c>
      <c r="G127" s="21">
        <v>0.9</v>
      </c>
      <c r="H127" s="21">
        <v>0.9</v>
      </c>
      <c r="I127" s="21">
        <v>0.9</v>
      </c>
    </row>
    <row r="128" spans="1:9" x14ac:dyDescent="0.25">
      <c r="A128" s="20" t="s">
        <v>334</v>
      </c>
      <c r="B128" s="17" t="s">
        <v>97</v>
      </c>
      <c r="C128" s="17" t="s">
        <v>98</v>
      </c>
      <c r="D128" s="18" t="s">
        <v>238</v>
      </c>
      <c r="E128" s="18" t="s">
        <v>266</v>
      </c>
      <c r="F128" s="22">
        <v>25</v>
      </c>
      <c r="G128" s="22">
        <v>25</v>
      </c>
      <c r="H128" s="22">
        <v>25</v>
      </c>
      <c r="I128" s="22">
        <v>25</v>
      </c>
    </row>
    <row r="129" spans="1:9" ht="30" x14ac:dyDescent="0.25">
      <c r="A129" s="20" t="s">
        <v>335</v>
      </c>
      <c r="B129" s="17" t="s">
        <v>101</v>
      </c>
      <c r="C129" s="17" t="s">
        <v>141</v>
      </c>
      <c r="D129" s="18" t="s">
        <v>239</v>
      </c>
      <c r="E129" s="18" t="s">
        <v>588</v>
      </c>
      <c r="F129" s="22">
        <v>40</v>
      </c>
      <c r="G129" s="22">
        <v>40</v>
      </c>
      <c r="H129" s="22">
        <v>40</v>
      </c>
      <c r="I129" s="22">
        <v>40</v>
      </c>
    </row>
    <row r="130" spans="1:9" ht="30" x14ac:dyDescent="0.25">
      <c r="A130" s="20" t="s">
        <v>336</v>
      </c>
      <c r="B130" s="17" t="s">
        <v>144</v>
      </c>
      <c r="C130" s="17" t="s">
        <v>145</v>
      </c>
      <c r="D130" s="18" t="s">
        <v>241</v>
      </c>
      <c r="E130" s="18" t="s">
        <v>588</v>
      </c>
      <c r="F130" s="22"/>
      <c r="G130" s="22"/>
      <c r="H130" s="22"/>
      <c r="I130" s="22"/>
    </row>
    <row r="131" spans="1:9" x14ac:dyDescent="0.25">
      <c r="A131" s="20" t="s">
        <v>337</v>
      </c>
      <c r="B131" s="17" t="s">
        <v>107</v>
      </c>
      <c r="C131" s="17" t="s">
        <v>242</v>
      </c>
      <c r="D131" s="18"/>
      <c r="E131" s="18" t="s">
        <v>588</v>
      </c>
      <c r="F131" s="22"/>
      <c r="G131" s="22"/>
      <c r="H131" s="22"/>
      <c r="I131" s="22"/>
    </row>
    <row r="132" spans="1:9" x14ac:dyDescent="0.25">
      <c r="A132" s="20" t="s">
        <v>338</v>
      </c>
      <c r="B132" s="17" t="s">
        <v>109</v>
      </c>
      <c r="C132" s="17" t="s">
        <v>112</v>
      </c>
      <c r="D132" s="18"/>
      <c r="E132" s="18" t="s">
        <v>588</v>
      </c>
      <c r="F132" s="22"/>
      <c r="G132" s="22"/>
      <c r="H132" s="22"/>
      <c r="I132" s="22"/>
    </row>
    <row r="133" spans="1:9" x14ac:dyDescent="0.25">
      <c r="A133" s="20" t="s">
        <v>386</v>
      </c>
      <c r="B133" s="17" t="s">
        <v>138</v>
      </c>
      <c r="C133" s="17" t="s">
        <v>387</v>
      </c>
      <c r="D133" s="18"/>
      <c r="E133" s="18" t="s">
        <v>588</v>
      </c>
      <c r="F133" s="22">
        <v>0</v>
      </c>
      <c r="G133" s="22">
        <v>0</v>
      </c>
      <c r="H133" s="22"/>
      <c r="I133" s="22"/>
    </row>
    <row r="134" spans="1:9" x14ac:dyDescent="0.25">
      <c r="A134" s="20" t="s">
        <v>442</v>
      </c>
      <c r="B134" s="17" t="s">
        <v>425</v>
      </c>
      <c r="C134" s="17" t="s">
        <v>387</v>
      </c>
      <c r="D134" s="18"/>
      <c r="E134" s="18" t="s">
        <v>588</v>
      </c>
      <c r="F134" s="22"/>
      <c r="G134" s="22"/>
      <c r="H134" s="22"/>
      <c r="I134" s="22"/>
    </row>
    <row r="135" spans="1:9" x14ac:dyDescent="0.25">
      <c r="A135" s="20" t="s">
        <v>339</v>
      </c>
      <c r="B135" s="17" t="s">
        <v>229</v>
      </c>
      <c r="C135" s="17" t="s">
        <v>246</v>
      </c>
      <c r="D135" s="18" t="s">
        <v>249</v>
      </c>
      <c r="E135" s="18" t="s">
        <v>588</v>
      </c>
      <c r="F135" s="22"/>
      <c r="G135" s="22"/>
      <c r="H135" s="22"/>
      <c r="I135" s="22"/>
    </row>
    <row r="136" spans="1:9" x14ac:dyDescent="0.25">
      <c r="A136" s="3" t="s">
        <v>186</v>
      </c>
      <c r="D136" s="5"/>
      <c r="E136" s="5"/>
    </row>
    <row r="137" spans="1:9" x14ac:dyDescent="0.25">
      <c r="A137" s="20" t="s">
        <v>469</v>
      </c>
      <c r="B137" s="17" t="s">
        <v>128</v>
      </c>
      <c r="C137" s="17" t="s">
        <v>25</v>
      </c>
      <c r="D137" s="18" t="s">
        <v>129</v>
      </c>
      <c r="E137" s="18" t="s">
        <v>588</v>
      </c>
      <c r="F137" s="21">
        <v>0.99</v>
      </c>
      <c r="G137" s="21">
        <v>0.99</v>
      </c>
      <c r="H137" s="21">
        <v>0.99</v>
      </c>
      <c r="I137" s="21">
        <v>0.99</v>
      </c>
    </row>
    <row r="138" spans="1:9" x14ac:dyDescent="0.25">
      <c r="A138" s="20" t="s">
        <v>467</v>
      </c>
      <c r="B138" s="17" t="s">
        <v>130</v>
      </c>
      <c r="C138" s="17" t="s">
        <v>25</v>
      </c>
      <c r="D138" s="18" t="s">
        <v>129</v>
      </c>
      <c r="E138" s="18" t="s">
        <v>588</v>
      </c>
      <c r="F138" s="21">
        <v>0.99</v>
      </c>
      <c r="G138" s="21">
        <v>0.99</v>
      </c>
      <c r="H138" s="21">
        <v>0.99</v>
      </c>
      <c r="I138" s="21">
        <v>0.99</v>
      </c>
    </row>
    <row r="139" spans="1:9" x14ac:dyDescent="0.25">
      <c r="A139" s="20" t="s">
        <v>360</v>
      </c>
      <c r="B139" s="17" t="s">
        <v>131</v>
      </c>
      <c r="C139" s="17" t="s">
        <v>25</v>
      </c>
      <c r="D139" s="18" t="s">
        <v>252</v>
      </c>
      <c r="E139" s="18" t="s">
        <v>588</v>
      </c>
      <c r="F139" s="28">
        <v>0.995</v>
      </c>
      <c r="G139" s="28">
        <v>0.995</v>
      </c>
      <c r="H139" s="28">
        <v>0.995</v>
      </c>
      <c r="I139" s="28">
        <v>0.995</v>
      </c>
    </row>
    <row r="140" spans="1:9" x14ac:dyDescent="0.25">
      <c r="A140" s="20" t="s">
        <v>361</v>
      </c>
      <c r="B140" s="17" t="s">
        <v>97</v>
      </c>
      <c r="C140" s="17" t="s">
        <v>98</v>
      </c>
      <c r="D140" s="18" t="s">
        <v>133</v>
      </c>
      <c r="E140" s="18" t="s">
        <v>266</v>
      </c>
      <c r="F140" s="22">
        <v>30</v>
      </c>
      <c r="G140" s="22">
        <v>30</v>
      </c>
      <c r="H140" s="22">
        <v>30</v>
      </c>
      <c r="I140" s="22">
        <v>30</v>
      </c>
    </row>
    <row r="141" spans="1:9" x14ac:dyDescent="0.25">
      <c r="A141" s="20" t="s">
        <v>362</v>
      </c>
      <c r="B141" s="17" t="s">
        <v>136</v>
      </c>
      <c r="C141" s="17" t="s">
        <v>40</v>
      </c>
      <c r="D141" s="18" t="s">
        <v>137</v>
      </c>
      <c r="E141" s="18" t="s">
        <v>588</v>
      </c>
      <c r="F141" s="22">
        <v>0.5</v>
      </c>
      <c r="G141" s="22">
        <v>0.5</v>
      </c>
      <c r="H141" s="22">
        <v>0.5</v>
      </c>
      <c r="I141" s="22">
        <v>0.5</v>
      </c>
    </row>
    <row r="142" spans="1:9" x14ac:dyDescent="0.25">
      <c r="A142" s="20" t="s">
        <v>363</v>
      </c>
      <c r="B142" s="17" t="s">
        <v>139</v>
      </c>
      <c r="C142" s="17" t="s">
        <v>25</v>
      </c>
      <c r="D142" s="18" t="s">
        <v>248</v>
      </c>
      <c r="E142" s="18" t="s">
        <v>588</v>
      </c>
      <c r="F142" s="26">
        <v>0</v>
      </c>
      <c r="G142" s="26">
        <v>0</v>
      </c>
      <c r="H142" s="26">
        <v>0</v>
      </c>
      <c r="I142" s="26">
        <v>0</v>
      </c>
    </row>
    <row r="143" spans="1:9" ht="45" x14ac:dyDescent="0.25">
      <c r="A143" s="29" t="s">
        <v>364</v>
      </c>
      <c r="B143" s="30" t="s">
        <v>281</v>
      </c>
      <c r="C143" s="30" t="s">
        <v>31</v>
      </c>
      <c r="D143" s="31" t="s">
        <v>282</v>
      </c>
      <c r="E143" s="18" t="s">
        <v>588</v>
      </c>
      <c r="F143" s="32">
        <v>65</v>
      </c>
      <c r="G143" s="32">
        <v>65</v>
      </c>
      <c r="H143" s="32">
        <v>65</v>
      </c>
      <c r="I143" s="32">
        <v>65</v>
      </c>
    </row>
    <row r="144" spans="1:9" x14ac:dyDescent="0.25">
      <c r="A144" s="20" t="s">
        <v>465</v>
      </c>
      <c r="B144" s="17" t="s">
        <v>101</v>
      </c>
      <c r="C144" s="17" t="s">
        <v>255</v>
      </c>
      <c r="D144" s="18"/>
      <c r="E144" s="18" t="s">
        <v>588</v>
      </c>
      <c r="F144" s="22">
        <v>5</v>
      </c>
      <c r="G144" s="22">
        <v>5</v>
      </c>
      <c r="H144" s="22">
        <v>5</v>
      </c>
      <c r="I144" s="22">
        <v>5</v>
      </c>
    </row>
    <row r="145" spans="1:9" x14ac:dyDescent="0.25">
      <c r="A145" s="20" t="s">
        <v>365</v>
      </c>
      <c r="B145" s="17" t="s">
        <v>144</v>
      </c>
      <c r="C145" s="17" t="s">
        <v>145</v>
      </c>
      <c r="D145" s="18"/>
      <c r="E145" s="18" t="s">
        <v>588</v>
      </c>
      <c r="F145" s="22">
        <v>100</v>
      </c>
      <c r="G145" s="22">
        <v>100</v>
      </c>
      <c r="H145" s="22">
        <v>100</v>
      </c>
      <c r="I145" s="22">
        <v>100</v>
      </c>
    </row>
    <row r="146" spans="1:9" x14ac:dyDescent="0.25">
      <c r="A146" s="20" t="s">
        <v>366</v>
      </c>
      <c r="B146" s="17" t="s">
        <v>107</v>
      </c>
      <c r="C146" s="17" t="s">
        <v>242</v>
      </c>
      <c r="D146" s="18"/>
      <c r="E146" s="18" t="s">
        <v>588</v>
      </c>
      <c r="F146" s="22"/>
      <c r="G146" s="22"/>
      <c r="H146" s="22"/>
      <c r="I146" s="22"/>
    </row>
    <row r="147" spans="1:9" x14ac:dyDescent="0.25">
      <c r="A147" s="20" t="s">
        <v>367</v>
      </c>
      <c r="B147" s="17" t="s">
        <v>109</v>
      </c>
      <c r="C147" s="17" t="s">
        <v>112</v>
      </c>
      <c r="D147" s="18"/>
      <c r="E147" s="18" t="s">
        <v>588</v>
      </c>
      <c r="F147" s="22"/>
      <c r="G147" s="22"/>
      <c r="H147" s="22"/>
      <c r="I147" s="22"/>
    </row>
    <row r="148" spans="1:9" x14ac:dyDescent="0.25">
      <c r="A148" s="20" t="s">
        <v>382</v>
      </c>
      <c r="B148" s="17" t="s">
        <v>138</v>
      </c>
      <c r="C148" s="17" t="s">
        <v>24</v>
      </c>
      <c r="D148" s="18" t="s">
        <v>283</v>
      </c>
      <c r="E148" s="18" t="s">
        <v>588</v>
      </c>
      <c r="F148" s="22"/>
      <c r="G148" s="22"/>
      <c r="H148" s="22"/>
      <c r="I148" s="22"/>
    </row>
    <row r="149" spans="1:9" x14ac:dyDescent="0.25">
      <c r="A149" s="20" t="s">
        <v>443</v>
      </c>
      <c r="B149" s="17" t="s">
        <v>425</v>
      </c>
      <c r="C149" s="17" t="s">
        <v>24</v>
      </c>
      <c r="D149" s="18"/>
      <c r="E149" s="18" t="s">
        <v>588</v>
      </c>
      <c r="F149" s="22"/>
      <c r="G149" s="22"/>
      <c r="H149" s="22"/>
      <c r="I149" s="22"/>
    </row>
    <row r="150" spans="1:9" x14ac:dyDescent="0.25">
      <c r="A150" s="20" t="s">
        <v>368</v>
      </c>
      <c r="B150" s="17" t="s">
        <v>229</v>
      </c>
      <c r="C150" s="17" t="s">
        <v>228</v>
      </c>
      <c r="D150" s="18" t="s">
        <v>249</v>
      </c>
      <c r="E150" s="18" t="s">
        <v>588</v>
      </c>
      <c r="F150" s="22"/>
      <c r="G150" s="22"/>
      <c r="H150" s="22"/>
      <c r="I150" s="22"/>
    </row>
    <row r="151" spans="1:9" x14ac:dyDescent="0.25">
      <c r="A151" s="3" t="s">
        <v>187</v>
      </c>
      <c r="D151" s="5"/>
      <c r="E151" s="5"/>
    </row>
    <row r="152" spans="1:9" x14ac:dyDescent="0.25">
      <c r="A152" s="20" t="s">
        <v>470</v>
      </c>
      <c r="B152" s="17" t="s">
        <v>128</v>
      </c>
      <c r="C152" s="17" t="s">
        <v>25</v>
      </c>
      <c r="D152" s="18" t="s">
        <v>129</v>
      </c>
      <c r="E152" s="18" t="s">
        <v>588</v>
      </c>
      <c r="F152" s="21">
        <v>0.99</v>
      </c>
      <c r="G152" s="21">
        <v>0.99</v>
      </c>
      <c r="H152" s="21">
        <v>0.99</v>
      </c>
      <c r="I152" s="21">
        <v>0.99</v>
      </c>
    </row>
    <row r="153" spans="1:9" x14ac:dyDescent="0.25">
      <c r="A153" s="20" t="s">
        <v>468</v>
      </c>
      <c r="B153" s="17" t="s">
        <v>130</v>
      </c>
      <c r="C153" s="17" t="s">
        <v>25</v>
      </c>
      <c r="D153" s="18" t="s">
        <v>129</v>
      </c>
      <c r="E153" s="18" t="s">
        <v>588</v>
      </c>
      <c r="F153" s="21">
        <v>0.99</v>
      </c>
      <c r="G153" s="21">
        <v>0.99</v>
      </c>
      <c r="H153" s="21">
        <v>0.99</v>
      </c>
      <c r="I153" s="21">
        <v>0.99</v>
      </c>
    </row>
    <row r="154" spans="1:9" x14ac:dyDescent="0.25">
      <c r="A154" s="20" t="s">
        <v>369</v>
      </c>
      <c r="B154" s="17" t="s">
        <v>131</v>
      </c>
      <c r="C154" s="17" t="s">
        <v>25</v>
      </c>
      <c r="D154" s="18" t="s">
        <v>132</v>
      </c>
      <c r="E154" s="18" t="s">
        <v>588</v>
      </c>
      <c r="F154" s="28">
        <v>0.995</v>
      </c>
      <c r="G154" s="28">
        <v>0.995</v>
      </c>
      <c r="H154" s="28">
        <v>0.995</v>
      </c>
      <c r="I154" s="28">
        <v>0.995</v>
      </c>
    </row>
    <row r="155" spans="1:9" x14ac:dyDescent="0.25">
      <c r="A155" s="20" t="s">
        <v>370</v>
      </c>
      <c r="B155" s="17" t="s">
        <v>97</v>
      </c>
      <c r="C155" s="17" t="s">
        <v>98</v>
      </c>
      <c r="D155" s="18" t="s">
        <v>133</v>
      </c>
      <c r="E155" s="18" t="s">
        <v>266</v>
      </c>
      <c r="F155" s="22">
        <v>30</v>
      </c>
      <c r="G155" s="22">
        <v>30</v>
      </c>
      <c r="H155" s="22">
        <v>30</v>
      </c>
      <c r="I155" s="22">
        <v>30</v>
      </c>
    </row>
    <row r="156" spans="1:9" x14ac:dyDescent="0.25">
      <c r="A156" s="20" t="s">
        <v>371</v>
      </c>
      <c r="B156" s="17" t="s">
        <v>136</v>
      </c>
      <c r="C156" s="17" t="s">
        <v>40</v>
      </c>
      <c r="D156" s="18" t="s">
        <v>137</v>
      </c>
      <c r="E156" s="18" t="s">
        <v>588</v>
      </c>
      <c r="F156" s="22">
        <v>0.5</v>
      </c>
      <c r="G156" s="22">
        <v>0.5</v>
      </c>
      <c r="H156" s="22">
        <v>0.5</v>
      </c>
      <c r="I156" s="22">
        <v>0.5</v>
      </c>
    </row>
    <row r="157" spans="1:9" x14ac:dyDescent="0.25">
      <c r="A157" s="20" t="s">
        <v>372</v>
      </c>
      <c r="B157" s="17" t="s">
        <v>139</v>
      </c>
      <c r="C157" s="17" t="s">
        <v>25</v>
      </c>
      <c r="D157" s="18" t="s">
        <v>140</v>
      </c>
      <c r="E157" s="18" t="s">
        <v>588</v>
      </c>
      <c r="F157" s="26">
        <v>0</v>
      </c>
      <c r="G157" s="26">
        <v>0</v>
      </c>
      <c r="H157" s="26">
        <v>0</v>
      </c>
      <c r="I157" s="26">
        <v>0</v>
      </c>
    </row>
    <row r="158" spans="1:9" x14ac:dyDescent="0.25">
      <c r="A158" s="20" t="s">
        <v>466</v>
      </c>
      <c r="B158" s="17" t="s">
        <v>101</v>
      </c>
      <c r="C158" s="17" t="s">
        <v>255</v>
      </c>
      <c r="D158" s="18"/>
      <c r="E158" s="18" t="s">
        <v>588</v>
      </c>
      <c r="F158" s="22">
        <v>5</v>
      </c>
      <c r="G158" s="22">
        <v>5</v>
      </c>
      <c r="H158" s="22">
        <v>5</v>
      </c>
      <c r="I158" s="22">
        <v>5</v>
      </c>
    </row>
    <row r="159" spans="1:9" x14ac:dyDescent="0.25">
      <c r="A159" s="20" t="s">
        <v>373</v>
      </c>
      <c r="B159" s="17" t="s">
        <v>144</v>
      </c>
      <c r="C159" s="17" t="s">
        <v>145</v>
      </c>
      <c r="D159" s="18"/>
      <c r="E159" s="18" t="s">
        <v>588</v>
      </c>
      <c r="F159" s="22">
        <v>100</v>
      </c>
      <c r="G159" s="22">
        <v>100</v>
      </c>
      <c r="H159" s="22">
        <v>100</v>
      </c>
      <c r="I159" s="22">
        <v>100</v>
      </c>
    </row>
    <row r="160" spans="1:9" x14ac:dyDescent="0.25">
      <c r="A160" s="20" t="s">
        <v>374</v>
      </c>
      <c r="B160" s="17" t="s">
        <v>107</v>
      </c>
      <c r="C160" s="17" t="s">
        <v>242</v>
      </c>
      <c r="D160" s="18"/>
      <c r="E160" s="18" t="s">
        <v>588</v>
      </c>
      <c r="F160" s="22"/>
      <c r="G160" s="22"/>
      <c r="H160" s="22"/>
      <c r="I160" s="22"/>
    </row>
    <row r="161" spans="1:9" x14ac:dyDescent="0.25">
      <c r="A161" s="20" t="s">
        <v>375</v>
      </c>
      <c r="B161" s="17" t="s">
        <v>109</v>
      </c>
      <c r="C161" s="17" t="s">
        <v>112</v>
      </c>
      <c r="D161" s="18"/>
      <c r="E161" s="18" t="s">
        <v>588</v>
      </c>
      <c r="F161" s="22"/>
      <c r="G161" s="22"/>
      <c r="H161" s="22"/>
      <c r="I161" s="22"/>
    </row>
    <row r="162" spans="1:9" x14ac:dyDescent="0.25">
      <c r="A162" s="20" t="s">
        <v>383</v>
      </c>
      <c r="B162" s="17" t="s">
        <v>138</v>
      </c>
      <c r="C162" s="17" t="s">
        <v>23</v>
      </c>
      <c r="D162" s="18"/>
      <c r="E162" s="18" t="s">
        <v>588</v>
      </c>
      <c r="F162" s="22"/>
      <c r="G162" s="22"/>
      <c r="H162" s="22"/>
      <c r="I162" s="22"/>
    </row>
    <row r="163" spans="1:9" x14ac:dyDescent="0.25">
      <c r="A163" s="20" t="s">
        <v>444</v>
      </c>
      <c r="B163" s="17" t="s">
        <v>425</v>
      </c>
      <c r="C163" s="17" t="s">
        <v>23</v>
      </c>
      <c r="D163" s="18"/>
      <c r="E163" s="18" t="s">
        <v>588</v>
      </c>
      <c r="F163" s="22"/>
      <c r="G163" s="22"/>
      <c r="H163" s="22"/>
      <c r="I163" s="22"/>
    </row>
    <row r="164" spans="1:9" x14ac:dyDescent="0.25">
      <c r="A164" s="20" t="s">
        <v>376</v>
      </c>
      <c r="B164" s="17" t="s">
        <v>229</v>
      </c>
      <c r="C164" s="17" t="s">
        <v>228</v>
      </c>
      <c r="D164" s="18" t="s">
        <v>249</v>
      </c>
      <c r="E164" s="18" t="s">
        <v>588</v>
      </c>
      <c r="F164" s="22"/>
      <c r="G164" s="22"/>
      <c r="H164" s="22"/>
      <c r="I164" s="22"/>
    </row>
    <row r="165" spans="1:9" x14ac:dyDescent="0.25">
      <c r="A165" s="3" t="s">
        <v>231</v>
      </c>
      <c r="D165" s="5"/>
      <c r="E165" s="5"/>
    </row>
    <row r="166" spans="1:9" x14ac:dyDescent="0.25">
      <c r="A166" s="20" t="s">
        <v>340</v>
      </c>
      <c r="B166" s="17" t="s">
        <v>247</v>
      </c>
      <c r="C166" s="17" t="s">
        <v>25</v>
      </c>
      <c r="D166" s="18" t="s">
        <v>262</v>
      </c>
      <c r="E166" s="18" t="s">
        <v>588</v>
      </c>
      <c r="F166" s="21">
        <v>0.9</v>
      </c>
      <c r="G166" s="21">
        <v>0.9</v>
      </c>
      <c r="H166" s="21">
        <v>0.9</v>
      </c>
      <c r="I166" s="21">
        <v>0.9</v>
      </c>
    </row>
    <row r="167" spans="1:9" x14ac:dyDescent="0.25">
      <c r="A167" s="20" t="s">
        <v>341</v>
      </c>
      <c r="B167" s="17" t="s">
        <v>97</v>
      </c>
      <c r="C167" s="17" t="s">
        <v>98</v>
      </c>
      <c r="D167" s="18"/>
      <c r="E167" s="18" t="s">
        <v>266</v>
      </c>
      <c r="F167" s="22">
        <v>20</v>
      </c>
      <c r="G167" s="22">
        <v>20</v>
      </c>
      <c r="H167" s="22">
        <v>20</v>
      </c>
      <c r="I167" s="22">
        <v>20</v>
      </c>
    </row>
    <row r="168" spans="1:9" ht="30" x14ac:dyDescent="0.25">
      <c r="A168" s="20" t="s">
        <v>342</v>
      </c>
      <c r="B168" s="17" t="s">
        <v>101</v>
      </c>
      <c r="C168" s="17" t="s">
        <v>484</v>
      </c>
      <c r="D168" s="18" t="s">
        <v>260</v>
      </c>
      <c r="E168" s="18" t="s">
        <v>588</v>
      </c>
      <c r="F168" s="22">
        <v>0.01</v>
      </c>
      <c r="G168" s="22">
        <v>0.01</v>
      </c>
      <c r="H168" s="22">
        <v>200</v>
      </c>
      <c r="I168" s="22">
        <v>200</v>
      </c>
    </row>
    <row r="169" spans="1:9" ht="30" x14ac:dyDescent="0.25">
      <c r="A169" s="20" t="s">
        <v>343</v>
      </c>
      <c r="B169" s="17" t="s">
        <v>144</v>
      </c>
      <c r="C169" s="17" t="s">
        <v>145</v>
      </c>
      <c r="D169" s="18" t="s">
        <v>259</v>
      </c>
      <c r="E169" s="18" t="s">
        <v>588</v>
      </c>
      <c r="F169" s="22">
        <v>0</v>
      </c>
      <c r="G169" s="22">
        <v>0</v>
      </c>
      <c r="H169" s="22">
        <v>3000</v>
      </c>
      <c r="I169" s="22">
        <v>3000</v>
      </c>
    </row>
    <row r="170" spans="1:9" x14ac:dyDescent="0.25">
      <c r="A170" s="20" t="s">
        <v>344</v>
      </c>
      <c r="B170" s="17" t="s">
        <v>107</v>
      </c>
      <c r="C170" s="17" t="s">
        <v>242</v>
      </c>
      <c r="D170" s="18"/>
      <c r="E170" s="18" t="s">
        <v>588</v>
      </c>
      <c r="F170" s="22"/>
      <c r="G170" s="22"/>
      <c r="H170" s="22"/>
      <c r="I170" s="22"/>
    </row>
    <row r="171" spans="1:9" x14ac:dyDescent="0.25">
      <c r="A171" s="20" t="s">
        <v>345</v>
      </c>
      <c r="B171" s="17" t="s">
        <v>109</v>
      </c>
      <c r="C171" s="17" t="s">
        <v>112</v>
      </c>
      <c r="D171" s="18"/>
      <c r="E171" s="18" t="s">
        <v>588</v>
      </c>
      <c r="F171" s="22"/>
      <c r="G171" s="22"/>
      <c r="H171" s="22"/>
      <c r="I171" s="22"/>
    </row>
    <row r="172" spans="1:9" x14ac:dyDescent="0.25">
      <c r="A172" s="20" t="s">
        <v>346</v>
      </c>
      <c r="B172" s="17" t="s">
        <v>256</v>
      </c>
      <c r="C172" s="17" t="s">
        <v>141</v>
      </c>
      <c r="D172" s="18" t="s">
        <v>257</v>
      </c>
      <c r="E172" s="18" t="s">
        <v>588</v>
      </c>
      <c r="F172" s="22">
        <v>0.14000000000000001</v>
      </c>
      <c r="G172" s="22">
        <v>0.14000000000000001</v>
      </c>
      <c r="H172" s="22">
        <v>0.14000000000000001</v>
      </c>
      <c r="I172" s="22">
        <v>0.14000000000000001</v>
      </c>
    </row>
    <row r="173" spans="1:9" x14ac:dyDescent="0.25">
      <c r="A173" s="20" t="s">
        <v>385</v>
      </c>
      <c r="B173" s="17" t="s">
        <v>138</v>
      </c>
      <c r="C173" s="17" t="s">
        <v>387</v>
      </c>
      <c r="D173" s="18"/>
      <c r="E173" s="18" t="s">
        <v>588</v>
      </c>
      <c r="F173" s="22"/>
      <c r="G173" s="22">
        <v>0</v>
      </c>
      <c r="H173" s="22">
        <v>0</v>
      </c>
      <c r="I173" s="22">
        <v>0</v>
      </c>
    </row>
    <row r="174" spans="1:9" x14ac:dyDescent="0.25">
      <c r="A174" s="20" t="s">
        <v>445</v>
      </c>
      <c r="B174" s="17" t="s">
        <v>446</v>
      </c>
      <c r="C174" s="17" t="s">
        <v>387</v>
      </c>
      <c r="D174" s="18"/>
      <c r="E174" s="18" t="s">
        <v>588</v>
      </c>
      <c r="F174" s="22"/>
      <c r="G174" s="22"/>
      <c r="H174" s="22"/>
      <c r="I174" s="22"/>
    </row>
    <row r="175" spans="1:9" ht="75" x14ac:dyDescent="0.25">
      <c r="A175" s="29" t="s">
        <v>347</v>
      </c>
      <c r="B175" s="30" t="s">
        <v>301</v>
      </c>
      <c r="C175" s="30" t="s">
        <v>228</v>
      </c>
      <c r="D175" s="31" t="s">
        <v>261</v>
      </c>
      <c r="E175" s="18" t="s">
        <v>588</v>
      </c>
      <c r="F175" s="33">
        <v>0.56999999999999995</v>
      </c>
      <c r="G175" s="33">
        <v>0.56999999999999995</v>
      </c>
      <c r="H175" s="33">
        <v>0.56999999999999995</v>
      </c>
      <c r="I175" s="33">
        <v>0.56999999999999995</v>
      </c>
    </row>
    <row r="176" spans="1:9" x14ac:dyDescent="0.25">
      <c r="A176" s="3" t="s">
        <v>292</v>
      </c>
    </row>
    <row r="177" spans="1:9" ht="30" x14ac:dyDescent="0.25">
      <c r="A177" s="29" t="s">
        <v>398</v>
      </c>
      <c r="B177" s="30" t="s">
        <v>297</v>
      </c>
      <c r="C177" s="30" t="s">
        <v>25</v>
      </c>
      <c r="D177" s="31" t="s">
        <v>298</v>
      </c>
      <c r="E177" s="18" t="s">
        <v>588</v>
      </c>
      <c r="F177" s="26"/>
      <c r="G177" s="26"/>
      <c r="H177" s="26">
        <v>0.35</v>
      </c>
      <c r="I177" s="26">
        <v>0.35</v>
      </c>
    </row>
    <row r="178" spans="1:9" x14ac:dyDescent="0.25">
      <c r="A178" s="29" t="s">
        <v>293</v>
      </c>
      <c r="B178" s="30" t="s">
        <v>97</v>
      </c>
      <c r="C178" s="30" t="s">
        <v>98</v>
      </c>
      <c r="D178" s="31"/>
      <c r="E178" s="18" t="s">
        <v>266</v>
      </c>
      <c r="F178" s="22"/>
      <c r="G178" s="22"/>
      <c r="H178" s="22">
        <v>30</v>
      </c>
      <c r="I178" s="22">
        <v>30</v>
      </c>
    </row>
    <row r="179" spans="1:9" ht="45" x14ac:dyDescent="0.25">
      <c r="A179" s="29" t="s">
        <v>626</v>
      </c>
      <c r="B179" s="30" t="s">
        <v>625</v>
      </c>
      <c r="C179" s="30" t="s">
        <v>47</v>
      </c>
      <c r="D179" s="31" t="s">
        <v>627</v>
      </c>
      <c r="E179" s="18"/>
      <c r="F179" s="22"/>
      <c r="G179" s="22"/>
      <c r="H179" s="22">
        <v>1</v>
      </c>
      <c r="I179" s="22"/>
    </row>
    <row r="180" spans="1:9" x14ac:dyDescent="0.25">
      <c r="A180" s="29" t="s">
        <v>294</v>
      </c>
      <c r="B180" s="30" t="s">
        <v>144</v>
      </c>
      <c r="C180" s="30" t="s">
        <v>145</v>
      </c>
      <c r="D180" s="31"/>
      <c r="E180" s="18" t="s">
        <v>588</v>
      </c>
      <c r="F180" s="22"/>
      <c r="G180" s="22"/>
      <c r="H180" s="22">
        <v>80000</v>
      </c>
      <c r="I180" s="22">
        <v>80000</v>
      </c>
    </row>
    <row r="181" spans="1:9" x14ac:dyDescent="0.25">
      <c r="A181" s="29" t="s">
        <v>295</v>
      </c>
      <c r="B181" s="30" t="s">
        <v>107</v>
      </c>
      <c r="C181" s="30" t="s">
        <v>242</v>
      </c>
      <c r="D181" s="31"/>
      <c r="E181" s="18" t="s">
        <v>588</v>
      </c>
      <c r="F181" s="22"/>
      <c r="G181" s="22"/>
      <c r="H181" s="22"/>
      <c r="I181" s="22"/>
    </row>
    <row r="182" spans="1:9" x14ac:dyDescent="0.25">
      <c r="A182" s="29" t="s">
        <v>296</v>
      </c>
      <c r="B182" s="30" t="s">
        <v>300</v>
      </c>
      <c r="C182" s="30" t="s">
        <v>299</v>
      </c>
      <c r="D182" s="31" t="s">
        <v>249</v>
      </c>
      <c r="E182" s="18" t="s">
        <v>588</v>
      </c>
      <c r="F182" s="22"/>
      <c r="G182" s="22"/>
      <c r="H182" s="22"/>
      <c r="I182" s="22"/>
    </row>
    <row r="183" spans="1:9" ht="30" x14ac:dyDescent="0.25">
      <c r="A183" s="29" t="s">
        <v>302</v>
      </c>
      <c r="B183" s="30" t="s">
        <v>297</v>
      </c>
      <c r="C183" s="30" t="s">
        <v>25</v>
      </c>
      <c r="D183" s="31" t="s">
        <v>298</v>
      </c>
      <c r="E183" s="18" t="s">
        <v>588</v>
      </c>
      <c r="F183" s="22"/>
      <c r="G183" s="22"/>
      <c r="H183" s="22"/>
      <c r="I183" s="22"/>
    </row>
    <row r="184" spans="1:9" x14ac:dyDescent="0.25">
      <c r="A184" s="29" t="s">
        <v>303</v>
      </c>
      <c r="B184" s="30" t="s">
        <v>97</v>
      </c>
      <c r="C184" s="30" t="s">
        <v>98</v>
      </c>
      <c r="D184" s="31"/>
      <c r="E184" s="18" t="s">
        <v>588</v>
      </c>
      <c r="F184" s="22"/>
      <c r="G184" s="22"/>
      <c r="H184" s="22"/>
      <c r="I184" s="22"/>
    </row>
    <row r="185" spans="1:9" x14ac:dyDescent="0.25">
      <c r="A185" s="29" t="s">
        <v>304</v>
      </c>
      <c r="B185" s="30" t="s">
        <v>144</v>
      </c>
      <c r="C185" s="30" t="s">
        <v>145</v>
      </c>
      <c r="D185" s="31"/>
      <c r="E185" s="18" t="s">
        <v>588</v>
      </c>
      <c r="F185" s="22"/>
      <c r="G185" s="22"/>
      <c r="H185" s="22"/>
      <c r="I185" s="22"/>
    </row>
    <row r="186" spans="1:9" x14ac:dyDescent="0.25">
      <c r="A186" s="29" t="s">
        <v>305</v>
      </c>
      <c r="B186" s="30" t="s">
        <v>107</v>
      </c>
      <c r="C186" s="30" t="s">
        <v>242</v>
      </c>
      <c r="D186" s="31"/>
      <c r="E186" s="18" t="s">
        <v>588</v>
      </c>
      <c r="F186" s="22"/>
      <c r="G186" s="22"/>
      <c r="H186" s="22"/>
      <c r="I186" s="22"/>
    </row>
    <row r="187" spans="1:9" x14ac:dyDescent="0.25">
      <c r="A187" s="29" t="s">
        <v>306</v>
      </c>
      <c r="B187" s="30" t="s">
        <v>300</v>
      </c>
      <c r="C187" s="30" t="s">
        <v>299</v>
      </c>
      <c r="D187" s="31" t="s">
        <v>249</v>
      </c>
      <c r="E187" s="18" t="s">
        <v>588</v>
      </c>
      <c r="F187" s="22"/>
      <c r="G187" s="22"/>
      <c r="H187" s="22"/>
      <c r="I187" s="22"/>
    </row>
  </sheetData>
  <phoneticPr fontId="5" type="noConversion"/>
  <pageMargins left="0.7" right="0.7" top="0.78740157499999996" bottom="0.78740157499999996"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42915F9E-2AA0-41B4-B5BE-7CA092885CB5}">
          <x14:formula1>
            <xm:f>Definitions!$B$2:$B$9</xm:f>
          </x14:formula1>
          <xm:sqref>F4:I4 F96:I96 F85:I85 F74:I74 F63:I63 F37:I37 F15:I15 F26:I26</xm:sqref>
        </x14:dataValidation>
        <x14:dataValidation type="list" allowBlank="1" showInputMessage="1" showErrorMessage="1" xr:uid="{13500E25-B537-4C11-869D-414189AFCDE0}">
          <x14:formula1>
            <xm:f>Definitions!$C$2:$C$6</xm:f>
          </x14:formula1>
          <xm:sqref>F64:I64 F75:I75 F86:I86 F97:I97</xm:sqref>
        </x14:dataValidation>
        <x14:dataValidation type="list" allowBlank="1" showInputMessage="1" showErrorMessage="1" xr:uid="{1A5574D3-DA98-465A-8D85-B60D06CC703B}">
          <x14:formula1>
            <xm:f>Definitions!$D$2</xm:f>
          </x14:formula1>
          <xm:sqref>F107:I107</xm:sqref>
        </x14:dataValidation>
        <x14:dataValidation type="list" allowBlank="1" showInputMessage="1" showErrorMessage="1" xr:uid="{4AEFF5BB-849A-4B4E-A80D-276292E19AD9}">
          <x14:formula1>
            <xm:f>Definitions!$E$2</xm:f>
          </x14:formula1>
          <xm:sqref>F117:I117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9AADD-8BB2-44C6-AE28-3F690BB3F186}">
  <sheetPr>
    <tabColor theme="9"/>
  </sheetPr>
  <dimension ref="A1:I39"/>
  <sheetViews>
    <sheetView tabSelected="1" workbookViewId="0">
      <selection activeCell="O25" sqref="O25"/>
    </sheetView>
  </sheetViews>
  <sheetFormatPr baseColWidth="10" defaultRowHeight="15" x14ac:dyDescent="0.25"/>
  <cols>
    <col min="1" max="1" width="29.42578125" customWidth="1"/>
    <col min="4" max="4" width="45.85546875" customWidth="1"/>
    <col min="5" max="5" width="12.28515625" customWidth="1"/>
  </cols>
  <sheetData>
    <row r="1" spans="1:9" x14ac:dyDescent="0.25">
      <c r="A1" s="1" t="str">
        <f>Location!A1</f>
        <v>PARAMETERS</v>
      </c>
      <c r="B1" s="1"/>
      <c r="C1" s="1"/>
      <c r="D1" s="1"/>
      <c r="E1" s="1"/>
      <c r="F1" s="1" t="str">
        <f>Location!F1</f>
        <v>SCENARIO VALUES</v>
      </c>
      <c r="G1" s="1"/>
      <c r="H1" s="1"/>
      <c r="I1" s="1"/>
    </row>
    <row r="2" spans="1:9" s="1" customFormat="1" x14ac:dyDescent="0.25">
      <c r="A2" s="20" t="s">
        <v>0</v>
      </c>
      <c r="B2" s="23" t="s">
        <v>1</v>
      </c>
      <c r="C2" s="23" t="s">
        <v>22</v>
      </c>
      <c r="D2" s="23" t="s">
        <v>29</v>
      </c>
      <c r="E2" s="23" t="s">
        <v>587</v>
      </c>
      <c r="F2" s="24" t="str">
        <f>Location!F2</f>
        <v>BAU</v>
      </c>
      <c r="G2" s="24" t="str">
        <f>Location!G2</f>
        <v>PV + WP</v>
      </c>
      <c r="H2" s="24" t="str">
        <f>Location!H2</f>
        <v>Refurbished</v>
      </c>
      <c r="I2" s="24" t="str">
        <f>Location!I2</f>
        <v>Flex</v>
      </c>
    </row>
    <row r="3" spans="1:9" s="1" customFormat="1" x14ac:dyDescent="0.25">
      <c r="A3" s="3" t="s">
        <v>279</v>
      </c>
    </row>
    <row r="4" spans="1:9" x14ac:dyDescent="0.25">
      <c r="A4" s="20" t="s">
        <v>457</v>
      </c>
      <c r="B4" s="17" t="s">
        <v>561</v>
      </c>
      <c r="C4" s="17" t="s">
        <v>25</v>
      </c>
      <c r="D4" s="17" t="s">
        <v>458</v>
      </c>
      <c r="E4" s="17" t="s">
        <v>588</v>
      </c>
      <c r="F4" s="47">
        <v>0.02</v>
      </c>
      <c r="G4" s="47">
        <v>0.02</v>
      </c>
      <c r="H4" s="47">
        <v>0.02</v>
      </c>
      <c r="I4" s="47">
        <v>0.02</v>
      </c>
    </row>
    <row r="5" spans="1:9" x14ac:dyDescent="0.25">
      <c r="A5" s="20" t="s">
        <v>6</v>
      </c>
      <c r="B5" s="17" t="s">
        <v>7</v>
      </c>
      <c r="C5" s="17" t="s">
        <v>493</v>
      </c>
      <c r="D5" s="17" t="s">
        <v>562</v>
      </c>
      <c r="E5" s="17" t="s">
        <v>588</v>
      </c>
      <c r="F5" s="22">
        <v>30</v>
      </c>
      <c r="G5" s="22">
        <v>30</v>
      </c>
      <c r="H5" s="22">
        <v>30</v>
      </c>
      <c r="I5" s="22">
        <v>30</v>
      </c>
    </row>
    <row r="6" spans="1:9" x14ac:dyDescent="0.25">
      <c r="A6" s="3" t="s">
        <v>280</v>
      </c>
    </row>
    <row r="7" spans="1:9" ht="16.5" customHeight="1" x14ac:dyDescent="0.25">
      <c r="A7" s="42" t="s">
        <v>153</v>
      </c>
      <c r="B7" s="30" t="s">
        <v>149</v>
      </c>
      <c r="C7" s="30" t="s">
        <v>151</v>
      </c>
      <c r="D7" s="31" t="s">
        <v>573</v>
      </c>
      <c r="E7" s="17" t="s">
        <v>588</v>
      </c>
      <c r="F7" s="43">
        <v>35</v>
      </c>
      <c r="G7" s="43">
        <v>35</v>
      </c>
      <c r="H7" s="43">
        <v>35</v>
      </c>
      <c r="I7" s="43">
        <v>35</v>
      </c>
    </row>
    <row r="8" spans="1:9" x14ac:dyDescent="0.25">
      <c r="A8" s="42" t="s">
        <v>152</v>
      </c>
      <c r="B8" s="30" t="s">
        <v>158</v>
      </c>
      <c r="C8" s="30" t="s">
        <v>154</v>
      </c>
      <c r="D8" s="31" t="s">
        <v>574</v>
      </c>
      <c r="E8" s="17" t="s">
        <v>588</v>
      </c>
      <c r="F8" s="43">
        <v>50</v>
      </c>
      <c r="G8" s="43">
        <v>50</v>
      </c>
      <c r="H8" s="43">
        <v>50</v>
      </c>
      <c r="I8" s="43">
        <v>50</v>
      </c>
    </row>
    <row r="9" spans="1:9" ht="45" x14ac:dyDescent="0.25">
      <c r="A9" s="42" t="s">
        <v>150</v>
      </c>
      <c r="B9" s="30" t="s">
        <v>159</v>
      </c>
      <c r="C9" s="30" t="s">
        <v>47</v>
      </c>
      <c r="D9" s="31" t="s">
        <v>572</v>
      </c>
      <c r="E9" s="17" t="s">
        <v>47</v>
      </c>
      <c r="F9" s="43">
        <v>0</v>
      </c>
      <c r="G9" s="43">
        <v>0</v>
      </c>
      <c r="H9" s="43">
        <v>0</v>
      </c>
      <c r="I9" s="43">
        <v>0</v>
      </c>
    </row>
    <row r="10" spans="1:9" ht="30" x14ac:dyDescent="0.25">
      <c r="A10" s="42" t="s">
        <v>571</v>
      </c>
      <c r="B10" s="30" t="s">
        <v>159</v>
      </c>
      <c r="C10" s="30" t="s">
        <v>47</v>
      </c>
      <c r="D10" s="31" t="s">
        <v>569</v>
      </c>
      <c r="E10" s="17" t="s">
        <v>47</v>
      </c>
      <c r="F10" s="43">
        <v>0</v>
      </c>
      <c r="G10" s="43">
        <v>0</v>
      </c>
      <c r="H10" s="43">
        <v>0</v>
      </c>
      <c r="I10" s="43">
        <v>0</v>
      </c>
    </row>
    <row r="11" spans="1:9" ht="30" x14ac:dyDescent="0.25">
      <c r="A11" s="42" t="s">
        <v>564</v>
      </c>
      <c r="B11" s="30" t="s">
        <v>159</v>
      </c>
      <c r="C11" s="30" t="s">
        <v>47</v>
      </c>
      <c r="D11" s="31" t="s">
        <v>565</v>
      </c>
      <c r="E11" s="17" t="s">
        <v>47</v>
      </c>
      <c r="F11" s="43">
        <v>0</v>
      </c>
      <c r="G11" s="43">
        <v>0</v>
      </c>
      <c r="H11" s="43">
        <v>0</v>
      </c>
      <c r="I11" s="43">
        <v>0</v>
      </c>
    </row>
    <row r="12" spans="1:9" ht="15" customHeight="1" x14ac:dyDescent="0.25">
      <c r="A12" s="42" t="s">
        <v>155</v>
      </c>
      <c r="B12" s="30" t="s">
        <v>149</v>
      </c>
      <c r="C12" s="30" t="s">
        <v>151</v>
      </c>
      <c r="D12" s="31" t="s">
        <v>573</v>
      </c>
      <c r="E12" s="17" t="s">
        <v>588</v>
      </c>
      <c r="F12" s="43">
        <v>35</v>
      </c>
      <c r="G12" s="43">
        <v>35</v>
      </c>
      <c r="H12" s="43">
        <v>35</v>
      </c>
      <c r="I12" s="43">
        <v>5</v>
      </c>
    </row>
    <row r="13" spans="1:9" x14ac:dyDescent="0.25">
      <c r="A13" s="42" t="s">
        <v>156</v>
      </c>
      <c r="B13" s="30" t="s">
        <v>158</v>
      </c>
      <c r="C13" s="30" t="s">
        <v>154</v>
      </c>
      <c r="D13" s="31" t="s">
        <v>574</v>
      </c>
      <c r="E13" s="17" t="s">
        <v>588</v>
      </c>
      <c r="F13" s="43">
        <v>0</v>
      </c>
      <c r="G13" s="43">
        <v>0</v>
      </c>
      <c r="H13" s="43">
        <v>0</v>
      </c>
      <c r="I13" s="43">
        <v>12</v>
      </c>
    </row>
    <row r="14" spans="1:9" ht="45" x14ac:dyDescent="0.25">
      <c r="A14" s="42" t="s">
        <v>157</v>
      </c>
      <c r="B14" s="30" t="s">
        <v>159</v>
      </c>
      <c r="C14" s="30" t="s">
        <v>47</v>
      </c>
      <c r="D14" s="31" t="s">
        <v>572</v>
      </c>
      <c r="E14" s="17" t="s">
        <v>47</v>
      </c>
      <c r="F14" s="43">
        <v>0</v>
      </c>
      <c r="G14" s="43">
        <v>0</v>
      </c>
      <c r="H14" s="43">
        <v>0</v>
      </c>
      <c r="I14" s="43">
        <v>1</v>
      </c>
    </row>
    <row r="15" spans="1:9" ht="30" x14ac:dyDescent="0.25">
      <c r="A15" s="42" t="s">
        <v>568</v>
      </c>
      <c r="B15" s="30" t="s">
        <v>159</v>
      </c>
      <c r="C15" s="30" t="s">
        <v>47</v>
      </c>
      <c r="D15" s="31" t="s">
        <v>569</v>
      </c>
      <c r="E15" s="17" t="s">
        <v>47</v>
      </c>
      <c r="F15" s="43">
        <v>0</v>
      </c>
      <c r="G15" s="43">
        <v>0</v>
      </c>
      <c r="H15" s="43">
        <v>0</v>
      </c>
      <c r="I15" s="43">
        <v>1</v>
      </c>
    </row>
    <row r="16" spans="1:9" ht="30" x14ac:dyDescent="0.25">
      <c r="A16" s="42" t="s">
        <v>566</v>
      </c>
      <c r="B16" s="30" t="s">
        <v>159</v>
      </c>
      <c r="C16" s="30" t="s">
        <v>47</v>
      </c>
      <c r="D16" s="31" t="s">
        <v>565</v>
      </c>
      <c r="E16" s="17" t="s">
        <v>47</v>
      </c>
      <c r="F16" s="43">
        <v>0</v>
      </c>
      <c r="G16" s="43">
        <v>0</v>
      </c>
      <c r="H16" s="43">
        <v>0</v>
      </c>
      <c r="I16" s="43">
        <v>1</v>
      </c>
    </row>
    <row r="17" spans="1:9" x14ac:dyDescent="0.25">
      <c r="A17" s="42" t="s">
        <v>523</v>
      </c>
      <c r="B17" s="30" t="s">
        <v>149</v>
      </c>
      <c r="C17" s="30" t="s">
        <v>151</v>
      </c>
      <c r="D17" s="31" t="s">
        <v>573</v>
      </c>
      <c r="E17" s="17" t="s">
        <v>588</v>
      </c>
      <c r="F17" s="43">
        <v>35</v>
      </c>
      <c r="G17" s="43">
        <v>35</v>
      </c>
      <c r="H17" s="43">
        <v>35</v>
      </c>
      <c r="I17" s="43">
        <v>5</v>
      </c>
    </row>
    <row r="18" spans="1:9" x14ac:dyDescent="0.25">
      <c r="A18" s="42" t="s">
        <v>524</v>
      </c>
      <c r="B18" s="30" t="s">
        <v>158</v>
      </c>
      <c r="C18" s="30" t="s">
        <v>154</v>
      </c>
      <c r="D18" s="31" t="s">
        <v>574</v>
      </c>
      <c r="E18" s="17" t="s">
        <v>588</v>
      </c>
      <c r="F18" s="43">
        <v>0</v>
      </c>
      <c r="G18" s="43">
        <v>0</v>
      </c>
      <c r="H18" s="43">
        <v>0</v>
      </c>
      <c r="I18" s="43">
        <v>12</v>
      </c>
    </row>
    <row r="19" spans="1:9" ht="45" x14ac:dyDescent="0.25">
      <c r="A19" s="42" t="s">
        <v>525</v>
      </c>
      <c r="B19" s="30" t="s">
        <v>159</v>
      </c>
      <c r="C19" s="30" t="s">
        <v>47</v>
      </c>
      <c r="D19" s="31" t="s">
        <v>572</v>
      </c>
      <c r="E19" s="17" t="s">
        <v>47</v>
      </c>
      <c r="F19" s="43">
        <v>0</v>
      </c>
      <c r="G19" s="43">
        <v>0</v>
      </c>
      <c r="H19" s="43">
        <v>0</v>
      </c>
      <c r="I19" s="43">
        <v>1</v>
      </c>
    </row>
    <row r="20" spans="1:9" ht="30" x14ac:dyDescent="0.25">
      <c r="A20" s="42" t="s">
        <v>570</v>
      </c>
      <c r="B20" s="30" t="s">
        <v>159</v>
      </c>
      <c r="C20" s="30" t="s">
        <v>47</v>
      </c>
      <c r="D20" s="31" t="s">
        <v>569</v>
      </c>
      <c r="E20" s="17" t="s">
        <v>47</v>
      </c>
      <c r="F20" s="43">
        <v>0</v>
      </c>
      <c r="G20" s="43">
        <v>0</v>
      </c>
      <c r="H20" s="43">
        <v>0</v>
      </c>
      <c r="I20" s="43">
        <v>1</v>
      </c>
    </row>
    <row r="21" spans="1:9" ht="30" x14ac:dyDescent="0.25">
      <c r="A21" s="42" t="s">
        <v>567</v>
      </c>
      <c r="B21" s="30" t="s">
        <v>159</v>
      </c>
      <c r="C21" s="30" t="s">
        <v>47</v>
      </c>
      <c r="D21" s="31" t="s">
        <v>565</v>
      </c>
      <c r="E21" s="17" t="s">
        <v>47</v>
      </c>
      <c r="F21" s="43">
        <v>0</v>
      </c>
      <c r="G21" s="43">
        <v>0</v>
      </c>
      <c r="H21" s="43">
        <v>0</v>
      </c>
      <c r="I21" s="43">
        <v>0</v>
      </c>
    </row>
    <row r="22" spans="1:9" x14ac:dyDescent="0.25">
      <c r="A22" s="29" t="s">
        <v>160</v>
      </c>
      <c r="B22" s="30" t="s">
        <v>163</v>
      </c>
      <c r="C22" s="30" t="s">
        <v>151</v>
      </c>
      <c r="D22" s="31"/>
      <c r="E22" s="17" t="s">
        <v>588</v>
      </c>
      <c r="F22" s="33">
        <v>7</v>
      </c>
      <c r="G22" s="33">
        <v>7</v>
      </c>
      <c r="H22" s="33">
        <v>7</v>
      </c>
      <c r="I22" s="33">
        <v>0</v>
      </c>
    </row>
    <row r="23" spans="1:9" ht="30" x14ac:dyDescent="0.25">
      <c r="A23" s="29" t="s">
        <v>161</v>
      </c>
      <c r="B23" s="30" t="s">
        <v>162</v>
      </c>
      <c r="C23" s="30" t="s">
        <v>47</v>
      </c>
      <c r="D23" s="31" t="s">
        <v>164</v>
      </c>
      <c r="E23" s="17" t="s">
        <v>588</v>
      </c>
      <c r="F23" s="33">
        <v>0</v>
      </c>
      <c r="G23" s="33">
        <v>0</v>
      </c>
      <c r="H23" s="33">
        <v>0</v>
      </c>
      <c r="I23" s="33">
        <v>1</v>
      </c>
    </row>
    <row r="24" spans="1:9" x14ac:dyDescent="0.25">
      <c r="A24" s="3" t="s">
        <v>459</v>
      </c>
    </row>
    <row r="25" spans="1:9" ht="30" x14ac:dyDescent="0.25">
      <c r="A25" s="42" t="s">
        <v>460</v>
      </c>
      <c r="B25" s="30" t="s">
        <v>462</v>
      </c>
      <c r="C25" s="30" t="s">
        <v>461</v>
      </c>
      <c r="D25" s="31" t="s">
        <v>463</v>
      </c>
      <c r="E25" s="17" t="s">
        <v>588</v>
      </c>
      <c r="F25" s="43">
        <v>100</v>
      </c>
      <c r="G25" s="43">
        <v>100</v>
      </c>
      <c r="H25" s="43">
        <v>100</v>
      </c>
      <c r="I25" s="43">
        <v>100</v>
      </c>
    </row>
    <row r="26" spans="1:9" x14ac:dyDescent="0.25">
      <c r="A26" s="3" t="s">
        <v>539</v>
      </c>
    </row>
    <row r="27" spans="1:9" x14ac:dyDescent="0.25">
      <c r="A27" s="29" t="s">
        <v>536</v>
      </c>
      <c r="B27" s="30" t="s">
        <v>537</v>
      </c>
      <c r="C27" s="30" t="s">
        <v>151</v>
      </c>
      <c r="D27" s="31" t="s">
        <v>538</v>
      </c>
      <c r="E27" s="17" t="s">
        <v>588</v>
      </c>
      <c r="F27" s="33">
        <v>10</v>
      </c>
      <c r="G27" s="33">
        <v>10</v>
      </c>
      <c r="H27" s="33">
        <v>10</v>
      </c>
      <c r="I27" s="33">
        <v>8.5</v>
      </c>
    </row>
    <row r="28" spans="1:9" x14ac:dyDescent="0.25">
      <c r="A28" s="29" t="s">
        <v>533</v>
      </c>
      <c r="B28" s="30" t="s">
        <v>535</v>
      </c>
      <c r="C28" s="30" t="s">
        <v>151</v>
      </c>
      <c r="D28" s="31" t="s">
        <v>540</v>
      </c>
      <c r="E28" s="17" t="s">
        <v>588</v>
      </c>
      <c r="F28" s="33"/>
      <c r="G28" s="33"/>
      <c r="H28" s="33"/>
      <c r="I28" s="33"/>
    </row>
    <row r="29" spans="1:9" x14ac:dyDescent="0.25">
      <c r="A29" s="29" t="s">
        <v>534</v>
      </c>
      <c r="B29" s="30" t="s">
        <v>541</v>
      </c>
      <c r="C29" s="30" t="s">
        <v>542</v>
      </c>
      <c r="D29" s="31" t="s">
        <v>543</v>
      </c>
      <c r="E29" s="17" t="s">
        <v>589</v>
      </c>
      <c r="F29" s="33"/>
      <c r="G29" s="33"/>
      <c r="H29" s="33"/>
      <c r="I29" s="33"/>
    </row>
    <row r="30" spans="1:9" x14ac:dyDescent="0.25">
      <c r="A30" s="29" t="s">
        <v>544</v>
      </c>
      <c r="B30" s="30" t="s">
        <v>546</v>
      </c>
      <c r="C30" s="30" t="s">
        <v>151</v>
      </c>
      <c r="D30" s="31" t="s">
        <v>540</v>
      </c>
      <c r="E30" s="17" t="s">
        <v>588</v>
      </c>
      <c r="F30" s="33"/>
      <c r="G30" s="33"/>
      <c r="H30" s="33"/>
      <c r="I30" s="33"/>
    </row>
    <row r="31" spans="1:9" x14ac:dyDescent="0.25">
      <c r="A31" s="29" t="s">
        <v>545</v>
      </c>
      <c r="B31" s="30" t="s">
        <v>547</v>
      </c>
      <c r="C31" s="30" t="s">
        <v>542</v>
      </c>
      <c r="D31" s="31" t="s">
        <v>543</v>
      </c>
      <c r="E31" s="17" t="s">
        <v>589</v>
      </c>
      <c r="F31" s="33"/>
      <c r="G31" s="33"/>
      <c r="H31" s="33"/>
      <c r="I31" s="33"/>
    </row>
    <row r="32" spans="1:9" x14ac:dyDescent="0.25">
      <c r="A32" s="29" t="s">
        <v>548</v>
      </c>
      <c r="B32" s="30" t="s">
        <v>535</v>
      </c>
      <c r="C32" s="30" t="s">
        <v>151</v>
      </c>
      <c r="D32" s="31" t="s">
        <v>540</v>
      </c>
      <c r="E32" s="17" t="s">
        <v>588</v>
      </c>
      <c r="F32" s="33"/>
      <c r="G32" s="33"/>
      <c r="H32" s="33"/>
      <c r="I32" s="33">
        <v>3.1</v>
      </c>
    </row>
    <row r="33" spans="1:9" x14ac:dyDescent="0.25">
      <c r="A33" s="29" t="s">
        <v>549</v>
      </c>
      <c r="B33" s="30" t="s">
        <v>541</v>
      </c>
      <c r="C33" s="30" t="s">
        <v>542</v>
      </c>
      <c r="D33" s="31" t="s">
        <v>543</v>
      </c>
      <c r="E33" s="17" t="s">
        <v>589</v>
      </c>
      <c r="F33" s="33"/>
      <c r="G33" s="33"/>
      <c r="H33" s="33"/>
      <c r="I33" s="33" t="s">
        <v>575</v>
      </c>
    </row>
    <row r="34" spans="1:9" x14ac:dyDescent="0.25">
      <c r="A34" s="29" t="s">
        <v>550</v>
      </c>
      <c r="B34" s="30" t="s">
        <v>546</v>
      </c>
      <c r="C34" s="30" t="s">
        <v>151</v>
      </c>
      <c r="D34" s="31" t="s">
        <v>540</v>
      </c>
      <c r="E34" s="17" t="s">
        <v>588</v>
      </c>
      <c r="F34" s="33"/>
      <c r="G34" s="33"/>
      <c r="H34" s="33"/>
      <c r="I34" s="33">
        <v>11.9</v>
      </c>
    </row>
    <row r="35" spans="1:9" x14ac:dyDescent="0.25">
      <c r="A35" s="29" t="s">
        <v>551</v>
      </c>
      <c r="B35" s="30" t="s">
        <v>547</v>
      </c>
      <c r="C35" s="30" t="s">
        <v>542</v>
      </c>
      <c r="D35" s="31" t="s">
        <v>543</v>
      </c>
      <c r="E35" s="17" t="s">
        <v>589</v>
      </c>
      <c r="F35" s="33"/>
      <c r="G35" s="33"/>
      <c r="H35" s="33"/>
      <c r="I35" s="33" t="s">
        <v>576</v>
      </c>
    </row>
    <row r="36" spans="1:9" x14ac:dyDescent="0.25">
      <c r="A36" s="29" t="s">
        <v>552</v>
      </c>
      <c r="B36" s="30" t="s">
        <v>535</v>
      </c>
      <c r="C36" s="30" t="s">
        <v>151</v>
      </c>
      <c r="D36" s="31" t="s">
        <v>540</v>
      </c>
      <c r="E36" s="17" t="s">
        <v>588</v>
      </c>
      <c r="F36" s="33"/>
      <c r="G36" s="33"/>
      <c r="H36" s="33"/>
      <c r="I36" s="33">
        <v>3.1</v>
      </c>
    </row>
    <row r="37" spans="1:9" x14ac:dyDescent="0.25">
      <c r="A37" s="29" t="s">
        <v>553</v>
      </c>
      <c r="B37" s="30" t="s">
        <v>541</v>
      </c>
      <c r="C37" s="30" t="s">
        <v>542</v>
      </c>
      <c r="D37" s="31" t="s">
        <v>543</v>
      </c>
      <c r="E37" s="17" t="s">
        <v>589</v>
      </c>
      <c r="F37" s="33"/>
      <c r="G37" s="33"/>
      <c r="H37" s="33"/>
      <c r="I37" s="33" t="s">
        <v>575</v>
      </c>
    </row>
    <row r="38" spans="1:9" x14ac:dyDescent="0.25">
      <c r="A38" s="29" t="s">
        <v>554</v>
      </c>
      <c r="B38" s="30" t="s">
        <v>546</v>
      </c>
      <c r="C38" s="30" t="s">
        <v>151</v>
      </c>
      <c r="D38" s="31" t="s">
        <v>540</v>
      </c>
      <c r="E38" s="17" t="s">
        <v>588</v>
      </c>
      <c r="F38" s="33"/>
      <c r="G38" s="33"/>
      <c r="H38" s="33"/>
      <c r="I38" s="33">
        <v>11.9</v>
      </c>
    </row>
    <row r="39" spans="1:9" x14ac:dyDescent="0.25">
      <c r="A39" s="29" t="s">
        <v>555</v>
      </c>
      <c r="B39" s="30" t="s">
        <v>547</v>
      </c>
      <c r="C39" s="30" t="s">
        <v>542</v>
      </c>
      <c r="D39" s="31" t="s">
        <v>543</v>
      </c>
      <c r="E39" s="17" t="s">
        <v>589</v>
      </c>
      <c r="F39" s="33"/>
      <c r="G39" s="33"/>
      <c r="H39" s="33"/>
      <c r="I39" s="33" t="s">
        <v>576</v>
      </c>
    </row>
  </sheetData>
  <phoneticPr fontId="5" type="noConversion"/>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2CF15-E9D5-4662-892C-5E03DF71462E}">
  <sheetPr>
    <tabColor rgb="FFFFC000"/>
  </sheetPr>
  <dimension ref="A1:I4"/>
  <sheetViews>
    <sheetView workbookViewId="0">
      <selection activeCell="D10" sqref="D10"/>
    </sheetView>
  </sheetViews>
  <sheetFormatPr baseColWidth="10" defaultRowHeight="15" x14ac:dyDescent="0.25"/>
  <cols>
    <col min="1" max="1" width="33.42578125" customWidth="1"/>
    <col min="2" max="2" width="40.140625" customWidth="1"/>
    <col min="4" max="4" width="57.140625" customWidth="1"/>
    <col min="5" max="5" width="8.85546875" customWidth="1"/>
    <col min="8" max="8" width="14.5703125" customWidth="1"/>
    <col min="9" max="9" width="15.42578125" customWidth="1"/>
  </cols>
  <sheetData>
    <row r="1" spans="1:9" x14ac:dyDescent="0.25">
      <c r="A1" s="1" t="str">
        <f>Location!A1</f>
        <v>PARAMETERS</v>
      </c>
      <c r="B1" s="1"/>
      <c r="C1" s="1"/>
      <c r="D1" s="1"/>
      <c r="E1" s="1"/>
      <c r="F1" s="1" t="str">
        <f>Location!F1</f>
        <v>SCENARIO VALUES</v>
      </c>
      <c r="G1" s="1"/>
      <c r="H1" s="1"/>
      <c r="I1" s="1"/>
    </row>
    <row r="2" spans="1:9" s="1" customFormat="1" x14ac:dyDescent="0.25">
      <c r="A2" s="20" t="s">
        <v>0</v>
      </c>
      <c r="B2" s="23" t="s">
        <v>1</v>
      </c>
      <c r="C2" s="23" t="s">
        <v>22</v>
      </c>
      <c r="D2" s="23" t="s">
        <v>29</v>
      </c>
      <c r="E2" s="23" t="s">
        <v>587</v>
      </c>
      <c r="F2" s="24" t="str">
        <f>Location!F2</f>
        <v>BAU</v>
      </c>
      <c r="G2" s="24" t="str">
        <f>Location!G2</f>
        <v>PV + WP</v>
      </c>
      <c r="H2" s="24" t="str">
        <f>Location!H2</f>
        <v>Refurbished</v>
      </c>
      <c r="I2" s="24" t="str">
        <f>Location!I2</f>
        <v>Flex</v>
      </c>
    </row>
    <row r="3" spans="1:9" x14ac:dyDescent="0.25">
      <c r="A3" s="29" t="s">
        <v>264</v>
      </c>
      <c r="B3" s="31" t="s">
        <v>265</v>
      </c>
      <c r="C3" s="30" t="s">
        <v>98</v>
      </c>
      <c r="D3" s="30" t="s">
        <v>558</v>
      </c>
      <c r="E3" s="30" t="s">
        <v>266</v>
      </c>
      <c r="F3" s="33">
        <v>2023</v>
      </c>
      <c r="G3" s="33">
        <v>2023</v>
      </c>
      <c r="H3" s="33">
        <v>2023</v>
      </c>
      <c r="I3" s="33">
        <v>2023</v>
      </c>
    </row>
    <row r="4" spans="1:9" ht="30" x14ac:dyDescent="0.25">
      <c r="A4" s="29" t="s">
        <v>263</v>
      </c>
      <c r="B4" s="31" t="s">
        <v>560</v>
      </c>
      <c r="C4" s="30" t="s">
        <v>47</v>
      </c>
      <c r="D4" s="30" t="s">
        <v>559</v>
      </c>
      <c r="E4" s="30" t="s">
        <v>47</v>
      </c>
      <c r="F4" s="33">
        <v>1</v>
      </c>
      <c r="G4" s="33">
        <v>1</v>
      </c>
      <c r="H4" s="33">
        <v>1</v>
      </c>
      <c r="I4" s="33">
        <v>1</v>
      </c>
    </row>
  </sheetData>
  <phoneticPr fontId="5" type="noConversion"/>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5F10F-6AB2-47CC-AC84-052823D8D5D2}">
  <sheetPr>
    <tabColor rgb="FFFFC000"/>
  </sheetPr>
  <dimension ref="A1:M16"/>
  <sheetViews>
    <sheetView workbookViewId="0">
      <selection activeCell="K29" sqref="K29"/>
    </sheetView>
  </sheetViews>
  <sheetFormatPr baseColWidth="10" defaultRowHeight="15" x14ac:dyDescent="0.25"/>
  <cols>
    <col min="1" max="1" width="26.85546875" style="1" customWidth="1"/>
  </cols>
  <sheetData>
    <row r="1" spans="1:13" x14ac:dyDescent="0.25">
      <c r="A1" s="1" t="s">
        <v>277</v>
      </c>
      <c r="C1" s="3"/>
      <c r="D1" s="3" t="s">
        <v>276</v>
      </c>
    </row>
    <row r="2" spans="1:13" s="1" customFormat="1" x14ac:dyDescent="0.25">
      <c r="A2" s="20" t="s">
        <v>232</v>
      </c>
      <c r="B2" s="20" t="s">
        <v>274</v>
      </c>
      <c r="C2" s="20" t="s">
        <v>275</v>
      </c>
      <c r="D2" s="24">
        <v>-20</v>
      </c>
      <c r="E2" s="24">
        <v>-15</v>
      </c>
      <c r="F2" s="24">
        <v>-10</v>
      </c>
      <c r="G2" s="24">
        <v>-7</v>
      </c>
      <c r="H2" s="24">
        <v>2</v>
      </c>
      <c r="I2" s="24">
        <v>7</v>
      </c>
      <c r="J2" s="24">
        <v>10</v>
      </c>
      <c r="K2" s="24">
        <v>20</v>
      </c>
      <c r="L2" s="24">
        <v>30</v>
      </c>
      <c r="M2" s="24">
        <v>35</v>
      </c>
    </row>
    <row r="3" spans="1:13" x14ac:dyDescent="0.25">
      <c r="A3" s="20" t="str" cm="1">
        <f t="array" ref="A3">Tabelle5[hp_types_air_water]</f>
        <v>vitocal_250A</v>
      </c>
      <c r="B3" s="44" t="s">
        <v>272</v>
      </c>
      <c r="C3" s="44">
        <v>25</v>
      </c>
      <c r="D3" s="46">
        <v>2.6</v>
      </c>
      <c r="E3" s="46">
        <v>2.8</v>
      </c>
      <c r="F3" s="46">
        <v>3.2</v>
      </c>
      <c r="G3" s="46">
        <v>3.4</v>
      </c>
      <c r="H3" s="46">
        <v>4.5</v>
      </c>
      <c r="I3" s="46">
        <v>5.8</v>
      </c>
      <c r="J3" s="46">
        <v>5.8</v>
      </c>
      <c r="K3" s="46">
        <v>8.4</v>
      </c>
      <c r="L3" s="46">
        <v>8.6999999999999993</v>
      </c>
      <c r="M3" s="46">
        <v>8.6999999999999993</v>
      </c>
    </row>
    <row r="4" spans="1:13" x14ac:dyDescent="0.25">
      <c r="A4" s="20" t="str" cm="1">
        <f t="array" ref="A4">Tabelle5[hp_types_air_water]</f>
        <v>vitocal_250A</v>
      </c>
      <c r="B4" s="44" t="s">
        <v>272</v>
      </c>
      <c r="C4" s="44">
        <v>35</v>
      </c>
      <c r="D4" s="22">
        <v>2.2999999999999998</v>
      </c>
      <c r="E4" s="22">
        <v>2.5</v>
      </c>
      <c r="F4" s="22">
        <v>2.8</v>
      </c>
      <c r="G4" s="22">
        <v>3</v>
      </c>
      <c r="H4" s="22">
        <v>4</v>
      </c>
      <c r="I4" s="22">
        <v>5.2</v>
      </c>
      <c r="J4" s="22">
        <v>5.2</v>
      </c>
      <c r="K4" s="22">
        <v>8.1999999999999993</v>
      </c>
      <c r="L4" s="22">
        <v>8.6999999999999993</v>
      </c>
      <c r="M4" s="22">
        <v>8.6999999999999993</v>
      </c>
    </row>
    <row r="5" spans="1:13" x14ac:dyDescent="0.25">
      <c r="A5" s="20" t="str" cm="1">
        <f t="array" ref="A5">Tabelle5[hp_types_air_water]</f>
        <v>vitocal_250A</v>
      </c>
      <c r="B5" s="44" t="s">
        <v>272</v>
      </c>
      <c r="C5" s="44">
        <v>45</v>
      </c>
      <c r="D5" s="22">
        <v>2</v>
      </c>
      <c r="E5" s="22">
        <v>2.2000000000000002</v>
      </c>
      <c r="F5" s="22">
        <v>2.4</v>
      </c>
      <c r="G5" s="22">
        <v>2.6</v>
      </c>
      <c r="H5" s="22">
        <v>3.3</v>
      </c>
      <c r="I5" s="22">
        <v>4.0999999999999996</v>
      </c>
      <c r="J5" s="22">
        <v>4.8</v>
      </c>
      <c r="K5" s="22">
        <v>5.4</v>
      </c>
      <c r="L5" s="22">
        <v>8.5</v>
      </c>
      <c r="M5" s="22">
        <v>8.5</v>
      </c>
    </row>
    <row r="6" spans="1:13" x14ac:dyDescent="0.25">
      <c r="A6" s="20" t="str" cm="1">
        <f t="array" ref="A6">Tabelle5[hp_types_air_water]</f>
        <v>vitocal_250A</v>
      </c>
      <c r="B6" s="44" t="s">
        <v>272</v>
      </c>
      <c r="C6" s="44">
        <v>55</v>
      </c>
      <c r="D6" s="22">
        <v>1.8</v>
      </c>
      <c r="E6" s="22">
        <v>2</v>
      </c>
      <c r="F6" s="22">
        <v>2.2000000000000002</v>
      </c>
      <c r="G6" s="22">
        <v>2.2999999999999998</v>
      </c>
      <c r="H6" s="22">
        <v>2.8</v>
      </c>
      <c r="I6" s="22">
        <v>3.4</v>
      </c>
      <c r="J6" s="22">
        <v>3.7</v>
      </c>
      <c r="K6" s="22">
        <v>4.8</v>
      </c>
      <c r="L6" s="22">
        <v>6.4</v>
      </c>
      <c r="M6" s="22">
        <v>6.4</v>
      </c>
    </row>
    <row r="7" spans="1:13" x14ac:dyDescent="0.25">
      <c r="A7" s="20" t="str" cm="1">
        <f t="array" ref="A7">Tabelle5[hp_types_air_water]</f>
        <v>vitocal_250A</v>
      </c>
      <c r="B7" s="44" t="s">
        <v>272</v>
      </c>
      <c r="C7" s="44">
        <v>65</v>
      </c>
      <c r="D7" s="22">
        <v>1.6</v>
      </c>
      <c r="E7" s="22">
        <v>1.8</v>
      </c>
      <c r="F7" s="22">
        <v>2</v>
      </c>
      <c r="G7" s="22">
        <v>2.1</v>
      </c>
      <c r="H7" s="22">
        <v>2.5</v>
      </c>
      <c r="I7" s="22">
        <v>2.8</v>
      </c>
      <c r="J7" s="22">
        <v>3</v>
      </c>
      <c r="K7" s="22">
        <v>3.7</v>
      </c>
      <c r="L7" s="22">
        <v>4.7</v>
      </c>
      <c r="M7" s="22">
        <v>4.7</v>
      </c>
    </row>
    <row r="8" spans="1:13" x14ac:dyDescent="0.25">
      <c r="A8" s="20" t="str" cm="1">
        <f t="array" ref="A8">Tabelle5[hp_types_air_water]</f>
        <v>vitocal_250A</v>
      </c>
      <c r="B8" s="44" t="s">
        <v>272</v>
      </c>
      <c r="C8" s="44">
        <v>70</v>
      </c>
      <c r="D8" s="22">
        <v>0</v>
      </c>
      <c r="E8" s="22">
        <v>0</v>
      </c>
      <c r="F8" s="22">
        <v>1.8</v>
      </c>
      <c r="G8" s="22">
        <v>1.9</v>
      </c>
      <c r="H8" s="22">
        <v>2.2999999999999998</v>
      </c>
      <c r="I8" s="22">
        <v>2.6</v>
      </c>
      <c r="J8" s="22">
        <v>2.7</v>
      </c>
      <c r="K8" s="22">
        <v>3.3</v>
      </c>
      <c r="L8" s="22">
        <v>4.0999999999999996</v>
      </c>
      <c r="M8" s="22">
        <v>4.0999999999999996</v>
      </c>
    </row>
    <row r="9" spans="1:13" x14ac:dyDescent="0.25">
      <c r="A9" s="20" t="str" cm="1">
        <f t="array" ref="A9">Tabelle5[hp_types_air_water]</f>
        <v>vitocal_250A</v>
      </c>
      <c r="B9" s="44" t="s">
        <v>273</v>
      </c>
      <c r="C9" s="44">
        <v>25</v>
      </c>
      <c r="D9" s="22">
        <v>0.75</v>
      </c>
      <c r="E9" s="22">
        <v>0.85</v>
      </c>
      <c r="F9" s="22">
        <v>0.97</v>
      </c>
      <c r="G9" s="22">
        <v>1.04</v>
      </c>
      <c r="H9" s="22">
        <v>0.62</v>
      </c>
      <c r="I9" s="22">
        <v>0.76</v>
      </c>
      <c r="J9" s="22">
        <v>0.84</v>
      </c>
      <c r="K9" s="22">
        <v>1.0900000000000001</v>
      </c>
      <c r="L9" s="22">
        <v>0.86</v>
      </c>
      <c r="M9" s="22">
        <v>0.86</v>
      </c>
    </row>
    <row r="10" spans="1:13" x14ac:dyDescent="0.25">
      <c r="A10" s="20" t="str" cm="1">
        <f t="array" ref="A10">Tabelle5[hp_types_air_water]</f>
        <v>vitocal_250A</v>
      </c>
      <c r="B10" s="44" t="s">
        <v>273</v>
      </c>
      <c r="C10" s="44">
        <v>35</v>
      </c>
      <c r="D10" s="22">
        <v>0.7</v>
      </c>
      <c r="E10" s="22">
        <v>0.8</v>
      </c>
      <c r="F10" s="22">
        <v>0.93</v>
      </c>
      <c r="G10" s="22">
        <v>1</v>
      </c>
      <c r="H10" s="22">
        <v>0.6</v>
      </c>
      <c r="I10" s="22">
        <v>0.73</v>
      </c>
      <c r="J10" s="22">
        <v>0.79</v>
      </c>
      <c r="K10" s="22">
        <v>1.05</v>
      </c>
      <c r="L10" s="22">
        <v>1.08</v>
      </c>
      <c r="M10" s="22">
        <v>1.08</v>
      </c>
    </row>
    <row r="11" spans="1:13" x14ac:dyDescent="0.25">
      <c r="A11" s="20" t="str" cm="1">
        <f t="array" ref="A11">Tabelle5[hp_types_air_water]</f>
        <v>vitocal_250A</v>
      </c>
      <c r="B11" s="44" t="s">
        <v>273</v>
      </c>
      <c r="C11" s="44">
        <v>45</v>
      </c>
      <c r="D11" s="22">
        <v>0.66</v>
      </c>
      <c r="E11" s="22">
        <v>0.76</v>
      </c>
      <c r="F11" s="22">
        <v>0.88</v>
      </c>
      <c r="G11" s="22">
        <v>0.96</v>
      </c>
      <c r="H11" s="22">
        <v>0.59</v>
      </c>
      <c r="I11" s="22">
        <v>0.7</v>
      </c>
      <c r="J11" s="22">
        <v>0.75</v>
      </c>
      <c r="K11" s="22">
        <v>1</v>
      </c>
      <c r="L11" s="22">
        <v>1.3</v>
      </c>
      <c r="M11" s="22">
        <v>1.3</v>
      </c>
    </row>
    <row r="12" spans="1:13" x14ac:dyDescent="0.25">
      <c r="A12" s="20" t="str" cm="1">
        <f t="array" ref="A12">Tabelle5[hp_types_air_water]</f>
        <v>vitocal_250A</v>
      </c>
      <c r="B12" s="44" t="s">
        <v>273</v>
      </c>
      <c r="C12" s="44">
        <v>55</v>
      </c>
      <c r="D12" s="22">
        <v>0.63</v>
      </c>
      <c r="E12" s="22">
        <v>0.75</v>
      </c>
      <c r="F12" s="22">
        <v>0.87</v>
      </c>
      <c r="G12" s="22">
        <v>0.95</v>
      </c>
      <c r="H12" s="22">
        <v>0.57999999999999996</v>
      </c>
      <c r="I12" s="22">
        <v>0.68</v>
      </c>
      <c r="J12" s="22">
        <v>0.75</v>
      </c>
      <c r="K12" s="22">
        <v>1.01</v>
      </c>
      <c r="L12" s="22">
        <v>1.31</v>
      </c>
      <c r="M12" s="22">
        <v>1.31</v>
      </c>
    </row>
    <row r="13" spans="1:13" x14ac:dyDescent="0.25">
      <c r="A13" s="20" t="str" cm="1">
        <f t="array" ref="A13">Tabelle5[hp_types_air_water]</f>
        <v>vitocal_250A</v>
      </c>
      <c r="B13" s="44" t="s">
        <v>273</v>
      </c>
      <c r="C13" s="44">
        <v>65</v>
      </c>
      <c r="D13" s="22">
        <v>0.41</v>
      </c>
      <c r="E13" s="22">
        <v>0.55000000000000004</v>
      </c>
      <c r="F13" s="22">
        <v>0.72</v>
      </c>
      <c r="G13" s="22">
        <v>0.82</v>
      </c>
      <c r="H13" s="22">
        <v>0.56999999999999995</v>
      </c>
      <c r="I13" s="22">
        <v>0.68</v>
      </c>
      <c r="J13" s="22">
        <v>0.75</v>
      </c>
      <c r="K13" s="22">
        <v>0.99</v>
      </c>
      <c r="L13" s="22">
        <v>1.26</v>
      </c>
      <c r="M13" s="22">
        <v>1.26</v>
      </c>
    </row>
    <row r="14" spans="1:13" x14ac:dyDescent="0.25">
      <c r="A14" s="20" t="str" cm="1">
        <f t="array" ref="A14">Tabelle5[hp_types_air_water]</f>
        <v>vitocal_250A</v>
      </c>
      <c r="B14" s="44" t="s">
        <v>273</v>
      </c>
      <c r="C14" s="44">
        <v>70</v>
      </c>
      <c r="D14" s="22">
        <v>0</v>
      </c>
      <c r="E14" s="22">
        <v>0</v>
      </c>
      <c r="F14" s="22">
        <v>0.54</v>
      </c>
      <c r="G14" s="22">
        <v>0.62</v>
      </c>
      <c r="H14" s="22">
        <v>0.56999999999999995</v>
      </c>
      <c r="I14" s="22">
        <v>0.68</v>
      </c>
      <c r="J14" s="22">
        <v>0.75</v>
      </c>
      <c r="K14" s="22">
        <v>0.98</v>
      </c>
      <c r="L14" s="22">
        <v>1.25</v>
      </c>
      <c r="M14" s="22">
        <v>1.25</v>
      </c>
    </row>
    <row r="15" spans="1:13" x14ac:dyDescent="0.25">
      <c r="A15" s="20" t="str">
        <f>Definitions!E2</f>
        <v>bosch_ClimateClass8000i</v>
      </c>
      <c r="B15" s="44" t="s">
        <v>272</v>
      </c>
      <c r="C15" s="44">
        <v>20</v>
      </c>
      <c r="D15" s="22">
        <v>0</v>
      </c>
      <c r="E15" s="22">
        <v>2.8</v>
      </c>
      <c r="F15" s="22">
        <v>3</v>
      </c>
      <c r="G15" s="22">
        <v>3.5</v>
      </c>
      <c r="H15" s="22">
        <v>5.0999999999999996</v>
      </c>
      <c r="I15" s="22">
        <v>6.2</v>
      </c>
      <c r="J15" s="41">
        <f>I15+(K15-I15)*($J$2-$I$2)/($K$2-$I$2)</f>
        <v>6.6153846153846159</v>
      </c>
      <c r="K15" s="22">
        <v>8</v>
      </c>
      <c r="L15" s="22">
        <v>0</v>
      </c>
      <c r="M15" s="22">
        <v>0</v>
      </c>
    </row>
    <row r="16" spans="1:13" x14ac:dyDescent="0.25">
      <c r="A16" s="20" t="str">
        <f>Definitions!E2</f>
        <v>bosch_ClimateClass8000i</v>
      </c>
      <c r="B16" s="44" t="s">
        <v>273</v>
      </c>
      <c r="C16" s="44">
        <v>20</v>
      </c>
      <c r="D16" s="22">
        <v>0</v>
      </c>
      <c r="E16" s="22">
        <v>1</v>
      </c>
      <c r="F16" s="22">
        <v>1.1200000000000001</v>
      </c>
      <c r="G16" s="22">
        <v>1</v>
      </c>
      <c r="H16" s="22">
        <v>0.6</v>
      </c>
      <c r="I16" s="22">
        <v>0.44</v>
      </c>
      <c r="J16" s="45">
        <f>I16+(K16-I16)*($J$2-$I$2)/($K$2-$I$2)</f>
        <v>0.44923076923076921</v>
      </c>
      <c r="K16" s="22">
        <v>0.48</v>
      </c>
      <c r="L16" s="22">
        <v>0</v>
      </c>
      <c r="M16" s="22">
        <v>0</v>
      </c>
    </row>
  </sheetData>
  <pageMargins left="0.7" right="0.7" top="0.78740157499999996" bottom="0.78740157499999996"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7D51F-E107-4996-8DB0-CC38E91BC369}">
  <sheetPr>
    <tabColor theme="1" tint="0.499984740745262"/>
  </sheetPr>
  <dimension ref="A1:G22"/>
  <sheetViews>
    <sheetView workbookViewId="0">
      <selection activeCell="K38" sqref="K38"/>
    </sheetView>
  </sheetViews>
  <sheetFormatPr baseColWidth="10" defaultRowHeight="15" x14ac:dyDescent="0.25"/>
  <sheetData>
    <row r="1" spans="1:7" x14ac:dyDescent="0.25">
      <c r="A1" t="s">
        <v>37</v>
      </c>
      <c r="B1" t="s">
        <v>93</v>
      </c>
      <c r="C1" t="s">
        <v>224</v>
      </c>
      <c r="D1" t="s">
        <v>235</v>
      </c>
      <c r="E1" t="s">
        <v>236</v>
      </c>
      <c r="F1" t="s">
        <v>496</v>
      </c>
      <c r="G1" t="s">
        <v>563</v>
      </c>
    </row>
    <row r="2" spans="1:7" x14ac:dyDescent="0.25">
      <c r="A2" t="s">
        <v>39</v>
      </c>
      <c r="B2" t="s">
        <v>85</v>
      </c>
      <c r="C2" t="s">
        <v>220</v>
      </c>
      <c r="D2" t="s">
        <v>234</v>
      </c>
      <c r="E2" t="s">
        <v>233</v>
      </c>
      <c r="F2" t="s">
        <v>497</v>
      </c>
      <c r="G2">
        <v>30</v>
      </c>
    </row>
    <row r="3" spans="1:7" x14ac:dyDescent="0.25">
      <c r="A3" t="s">
        <v>42</v>
      </c>
      <c r="B3" t="s">
        <v>86</v>
      </c>
      <c r="C3" t="s">
        <v>221</v>
      </c>
      <c r="F3" t="s">
        <v>498</v>
      </c>
      <c r="G3">
        <v>40</v>
      </c>
    </row>
    <row r="4" spans="1:7" x14ac:dyDescent="0.25">
      <c r="B4" t="s">
        <v>87</v>
      </c>
      <c r="C4" t="s">
        <v>222</v>
      </c>
      <c r="F4" t="s">
        <v>499</v>
      </c>
      <c r="G4">
        <v>50</v>
      </c>
    </row>
    <row r="5" spans="1:7" x14ac:dyDescent="0.25">
      <c r="B5" t="s">
        <v>88</v>
      </c>
      <c r="C5" t="s">
        <v>221</v>
      </c>
    </row>
    <row r="6" spans="1:7" x14ac:dyDescent="0.25">
      <c r="B6" t="s">
        <v>89</v>
      </c>
      <c r="C6" t="s">
        <v>223</v>
      </c>
    </row>
    <row r="7" spans="1:7" x14ac:dyDescent="0.25">
      <c r="B7" t="s">
        <v>90</v>
      </c>
    </row>
    <row r="8" spans="1:7" x14ac:dyDescent="0.25">
      <c r="B8" t="s">
        <v>91</v>
      </c>
    </row>
    <row r="9" spans="1:7" x14ac:dyDescent="0.25">
      <c r="B9" t="s">
        <v>92</v>
      </c>
    </row>
    <row r="14" spans="1:7" x14ac:dyDescent="0.25">
      <c r="C14" s="52"/>
    </row>
    <row r="15" spans="1:7" x14ac:dyDescent="0.25">
      <c r="C15" s="52"/>
    </row>
    <row r="16" spans="1:7" x14ac:dyDescent="0.25">
      <c r="C16" s="52"/>
    </row>
    <row r="17" spans="3:3" x14ac:dyDescent="0.25">
      <c r="C17" s="52"/>
    </row>
    <row r="18" spans="3:3" x14ac:dyDescent="0.25">
      <c r="C18" s="52"/>
    </row>
    <row r="19" spans="3:3" x14ac:dyDescent="0.25">
      <c r="C19" s="52"/>
    </row>
    <row r="20" spans="3:3" x14ac:dyDescent="0.25">
      <c r="C20" s="52"/>
    </row>
    <row r="21" spans="3:3" x14ac:dyDescent="0.25">
      <c r="C21" s="52"/>
    </row>
    <row r="22" spans="3:3" x14ac:dyDescent="0.25">
      <c r="C22" s="52"/>
    </row>
  </sheetData>
  <pageMargins left="0.7" right="0.7" top="0.78740157499999996" bottom="0.78740157499999996" header="0.3" footer="0.3"/>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Info</vt:lpstr>
      <vt:lpstr>Location</vt:lpstr>
      <vt:lpstr>Consumption Data</vt:lpstr>
      <vt:lpstr>Building Data</vt:lpstr>
      <vt:lpstr>Technical Component Data</vt:lpstr>
      <vt:lpstr>Economic Data</vt:lpstr>
      <vt:lpstr>Model Settings</vt:lpstr>
      <vt:lpstr>HP Specifications</vt:lpstr>
      <vt:lpstr>Definitions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Fröhlich</dc:creator>
  <cp:lastModifiedBy>Fröhlich, Erik</cp:lastModifiedBy>
  <dcterms:created xsi:type="dcterms:W3CDTF">2025-02-03T12:49:37Z</dcterms:created>
  <dcterms:modified xsi:type="dcterms:W3CDTF">2026-01-05T18:47:26Z</dcterms:modified>
</cp:coreProperties>
</file>