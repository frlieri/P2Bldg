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8.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_rels/workbook.xml.rels" ContentType="application/vnd.openxmlformats-package.relationships+xml"/>
  <Override PartName="/xl/media/image1.jpeg" ContentType="image/jpeg"/>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5"/>
  </bookViews>
  <sheets>
    <sheet name="Info" sheetId="1" state="visible" r:id="rId3"/>
    <sheet name="Location" sheetId="2" state="visible" r:id="rId4"/>
    <sheet name="Consumption Data" sheetId="3" state="visible" r:id="rId5"/>
    <sheet name="Building Data" sheetId="4" state="visible" r:id="rId6"/>
    <sheet name="Technical Component Data" sheetId="5" state="visible" r:id="rId7"/>
    <sheet name="Economic Data" sheetId="6" state="visible" r:id="rId8"/>
    <sheet name="Model Settings" sheetId="7" state="visible" r:id="rId9"/>
    <sheet name="HP Specifications" sheetId="8" state="visible" r:id="rId10"/>
    <sheet name="Definitions"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<sst xmlns="http://schemas.openxmlformats.org/spreadsheetml/2006/main" count="1646" uniqueCount="629">
  <si>
    <t xml:space="preserve">In the sheets the needed input data for p2Home are collected. 
The sheets have the following structure: 
In the PARAMETERS section, parameter names are defined and a description is given. Parameter names should never be changed! 
In the SCENARIO VALUES sections the values for each parameter can be defined for different scenarios. The defined scenarios must be the same in all sheets! The maximum supported number of scenarios is 10.</t>
  </si>
  <si>
    <t xml:space="preserve">Green sheets mark sheets where usually input data should be provided.</t>
  </si>
  <si>
    <t xml:space="preserve">Yellow sheets mark sheets where only advanced users should change data.</t>
  </si>
  <si>
    <t xml:space="preserve">Grey sheets are not meant to be modified.</t>
  </si>
  <si>
    <t xml:space="preserve">Important input parameters are marked in red. For other parameters default values can be used.</t>
  </si>
  <si>
    <t xml:space="preserve">Sheet</t>
  </si>
  <si>
    <t xml:space="preserve">Description</t>
  </si>
  <si>
    <t xml:space="preserve">Location</t>
  </si>
  <si>
    <t xml:space="preserve">Location (latitude, longitude) and reference heating temperature</t>
  </si>
  <si>
    <t xml:space="preserve">Consumption Data</t>
  </si>
  <si>
    <t xml:space="preserve">Data on household size, energy consumption (electricity, heating, hot water) and EV charging</t>
  </si>
  <si>
    <t xml:space="preserve">Building Data</t>
  </si>
  <si>
    <t xml:space="preserve">Data on heated area and orientation and size of roof/wall areas, windows</t>
  </si>
  <si>
    <t xml:space="preserve">Technical Component Data</t>
  </si>
  <si>
    <t xml:space="preserve">Data on technical aspects and cost of energy system components: PV, Solar thermal, battery storage, heatpumps, AC, boilers, hot water storages, refurbishment measures</t>
  </si>
  <si>
    <t xml:space="preserve">Economic Data</t>
  </si>
  <si>
    <t xml:space="preserve">Interest rate, costs of electricity and CO2 price</t>
  </si>
  <si>
    <t xml:space="preserve">Model Settings</t>
  </si>
  <si>
    <t xml:space="preserve">Settings on climate data years to be considered and timeseries reduction</t>
  </si>
  <si>
    <t xml:space="preserve">HP Specifications</t>
  </si>
  <si>
    <t xml:space="preserve">COP and Qmax specifications for selected heatpump models</t>
  </si>
  <si>
    <t xml:space="preserve">Definitions</t>
  </si>
  <si>
    <t xml:space="preserve">Definitions for prefilled fields in other sheets</t>
  </si>
  <si>
    <t xml:space="preserve">PARAMETERS</t>
  </si>
  <si>
    <t xml:space="preserve">SCENARIO VALUES</t>
  </si>
  <si>
    <t xml:space="preserve">name</t>
  </si>
  <si>
    <t xml:space="preserve">description</t>
  </si>
  <si>
    <t xml:space="preserve">unit</t>
  </si>
  <si>
    <t xml:space="preserve">comment</t>
  </si>
  <si>
    <t xml:space="preserve">datatype</t>
  </si>
  <si>
    <t xml:space="preserve">BAU</t>
  </si>
  <si>
    <t xml:space="preserve">PV + HP</t>
  </si>
  <si>
    <t xml:space="preserve">Refurbished</t>
  </si>
  <si>
    <t xml:space="preserve">Flex</t>
  </si>
  <si>
    <t xml:space="preserve">latitude</t>
  </si>
  <si>
    <t xml:space="preserve">latitude of building location</t>
  </si>
  <si>
    <t xml:space="preserve">°</t>
  </si>
  <si>
    <t xml:space="preserve">float</t>
  </si>
  <si>
    <t xml:space="preserve">longitude</t>
  </si>
  <si>
    <t xml:space="preserve">logitude of building location °</t>
  </si>
  <si>
    <t xml:space="preserve">T_out_ref</t>
  </si>
  <si>
    <t xml:space="preserve">reference outside temperature for dimensioning heating system</t>
  </si>
  <si>
    <t xml:space="preserve">°C</t>
  </si>
  <si>
    <t xml:space="preserve">https://www.waermepumpe.de/werkzeuge/klimakarte/</t>
  </si>
  <si>
    <t xml:space="preserve">name </t>
  </si>
  <si>
    <t xml:space="preserve">Your specific energy consumption (kWh/m2a)</t>
  </si>
  <si>
    <t xml:space="preserve">general data</t>
  </si>
  <si>
    <t xml:space="preserve">Energy efficiency class</t>
  </si>
  <si>
    <t xml:space="preserve">nr_of_households</t>
  </si>
  <si>
    <t xml:space="preserve">number of households in building</t>
  </si>
  <si>
    <t xml:space="preserve">obligatory</t>
  </si>
  <si>
    <t xml:space="preserve">nr_of_persons</t>
  </si>
  <si>
    <t xml:space="preserve">number of persons living in the building in total</t>
  </si>
  <si>
    <t xml:space="preserve">electricity consumption</t>
  </si>
  <si>
    <t xml:space="preserve">p_el_imp_max</t>
  </si>
  <si>
    <t xml:space="preserve">maximum power rating of house connection</t>
  </si>
  <si>
    <t xml:space="preserve">kW</t>
  </si>
  <si>
    <t xml:space="preserve">el_demand</t>
  </si>
  <si>
    <t xml:space="preserve">total annual electricity consumptions of all households</t>
  </si>
  <si>
    <t xml:space="preserve">kWh</t>
  </si>
  <si>
    <t xml:space="preserve">nr_of_synPro_hh_1</t>
  </si>
  <si>
    <t xml:space="preserve">number of fulltime employee housholds</t>
  </si>
  <si>
    <t xml:space="preserve">-</t>
  </si>
  <si>
    <t xml:space="preserve">A+</t>
  </si>
  <si>
    <t xml:space="preserve">nr_of_synPro_hh_2</t>
  </si>
  <si>
    <t xml:space="preserve">number of housholds with persons over 65 (retired)</t>
  </si>
  <si>
    <t xml:space="preserve">A</t>
  </si>
  <si>
    <t xml:space="preserve">nr_of_synPro_hh_3</t>
  </si>
  <si>
    <t xml:space="preserve">number of familiy households (or homeoffice)</t>
  </si>
  <si>
    <t xml:space="preserve">B</t>
  </si>
  <si>
    <t xml:space="preserve">nr_of_synPro_hh_4</t>
  </si>
  <si>
    <t xml:space="preserve">number of households with single persons under 30 (student)</t>
  </si>
  <si>
    <t xml:space="preserve">C</t>
  </si>
  <si>
    <t xml:space="preserve">hot water demand</t>
  </si>
  <si>
    <t xml:space="preserve">D</t>
  </si>
  <si>
    <t xml:space="preserve">l_per_person_day</t>
  </si>
  <si>
    <t xml:space="preserve">demand of hot water per person per day</t>
  </si>
  <si>
    <t xml:space="preserve">l</t>
  </si>
  <si>
    <t xml:space="preserve">E</t>
  </si>
  <si>
    <t xml:space="preserve">temp_dhw</t>
  </si>
  <si>
    <t xml:space="preserve">temperature of domestic hot water</t>
  </si>
  <si>
    <t xml:space="preserve">obilgatory</t>
  </si>
  <si>
    <t xml:space="preserve">F</t>
  </si>
  <si>
    <t xml:space="preserve">heating demand </t>
  </si>
  <si>
    <t xml:space="preserve">G</t>
  </si>
  <si>
    <t xml:space="preserve">heat_demand</t>
  </si>
  <si>
    <t xml:space="preserve">total annual heat consumption of all households  (gas/oil)</t>
  </si>
  <si>
    <t xml:space="preserve">if not given, transmission losses need to be given</t>
  </si>
  <si>
    <t xml:space="preserve">H</t>
  </si>
  <si>
    <t xml:space="preserve">avg_indoor_temp</t>
  </si>
  <si>
    <t xml:space="preserve">indoor temperature averaged over all rooms</t>
  </si>
  <si>
    <t xml:space="preserve">avg_indoor_temp_night</t>
  </si>
  <si>
    <t xml:space="preserve">indoor temperature during the night</t>
  </si>
  <si>
    <t xml:space="preserve">is equal to day temp. If not given</t>
  </si>
  <si>
    <t xml:space="preserve">night_period</t>
  </si>
  <si>
    <t xml:space="preserve">period during which night temperature is applied</t>
  </si>
  <si>
    <t xml:space="preserve">HH-HH</t>
  </si>
  <si>
    <t xml:space="preserve">e.g. 0-6</t>
  </si>
  <si>
    <t xml:space="preserve">str</t>
  </si>
  <si>
    <t xml:space="preserve">0-6</t>
  </si>
  <si>
    <t xml:space="preserve">heating_threshold</t>
  </si>
  <si>
    <t xml:space="preserve">if heating threshold is applied, a heating demand is only calculated for days which have an average temperature lower than the threshold</t>
  </si>
  <si>
    <t xml:space="preserve">if none is given, no heating threshold is applied</t>
  </si>
  <si>
    <t xml:space="preserve">delta_temp_max</t>
  </si>
  <si>
    <t xml:space="preserve">indoor temperature tolerance</t>
  </si>
  <si>
    <t xml:space="preserve">in a smart controlled building thermal inertia can be used as a buffer storage to provide felxibility, leads to losses in thermal comfort. Delta_temp_max = 2 means that builing can be pre-heated by 2°C </t>
  </si>
  <si>
    <t xml:space="preserve">flow_temp_ref</t>
  </si>
  <si>
    <t xml:space="preserve">flow temperature in heating system for reference outside temperature</t>
  </si>
  <si>
    <t xml:space="preserve">e-mobility demand</t>
  </si>
  <si>
    <t xml:space="preserve">ev1_max_p</t>
  </si>
  <si>
    <t xml:space="preserve">maximum power of charging process</t>
  </si>
  <si>
    <t xml:space="preserve">obligatory, if used</t>
  </si>
  <si>
    <t xml:space="preserve">ev1_period</t>
  </si>
  <si>
    <t xml:space="preserve">period when EV is connected to charging column, e.g. 18 - 7</t>
  </si>
  <si>
    <t xml:space="preserve">18-7</t>
  </si>
  <si>
    <t xml:space="preserve">ev1_drivedist</t>
  </si>
  <si>
    <t xml:space="preserve">distance driven with one charge</t>
  </si>
  <si>
    <t xml:space="preserve">km</t>
  </si>
  <si>
    <t xml:space="preserve">ev1_kwhper100km</t>
  </si>
  <si>
    <t xml:space="preserve">average consumption of electric vehicle</t>
  </si>
  <si>
    <t xml:space="preserve">kWh/100km</t>
  </si>
  <si>
    <t xml:space="preserve">ev1_daysinweek</t>
  </si>
  <si>
    <t xml:space="preserve">days of week where EV is charged (1: Monday, 7: Sunday)</t>
  </si>
  <si>
    <t xml:space="preserve">comma-separated list of values between 1..7 (1=Monday), e.g. '1,2,3,4,5'</t>
  </si>
  <si>
    <t xml:space="preserve">1,2,3,4,5</t>
  </si>
  <si>
    <t xml:space="preserve">ev1_chargetype</t>
  </si>
  <si>
    <t xml:space="preserve">charging type: can be fast (with maximum power), flat (constant within period) or optimized (cost-optimized, s.t. battery is full when car leaves charger)</t>
  </si>
  <si>
    <t xml:space="preserve">optimized</t>
  </si>
  <si>
    <t xml:space="preserve">ev2_max_p</t>
  </si>
  <si>
    <t xml:space="preserve">ev2_period</t>
  </si>
  <si>
    <t xml:space="preserve">ev2_drivedist</t>
  </si>
  <si>
    <t xml:space="preserve">ev2_kwhper100km</t>
  </si>
  <si>
    <t xml:space="preserve">ev2_daysinweek</t>
  </si>
  <si>
    <t xml:space="preserve">ev2_chargetype</t>
  </si>
  <si>
    <t xml:space="preserve">fast</t>
  </si>
  <si>
    <t xml:space="preserve">ev3_max_p</t>
  </si>
  <si>
    <t xml:space="preserve">ev3_period</t>
  </si>
  <si>
    <t xml:space="preserve">ev3_drivedist</t>
  </si>
  <si>
    <t xml:space="preserve">ev3_kwhper100km</t>
  </si>
  <si>
    <t xml:space="preserve">ev3_daysinweek</t>
  </si>
  <si>
    <t xml:space="preserve">1,2,3</t>
  </si>
  <si>
    <t xml:space="preserve">ev3_chargetype</t>
  </si>
  <si>
    <t xml:space="preserve">flat</t>
  </si>
  <si>
    <t xml:space="preserve">General Data</t>
  </si>
  <si>
    <t xml:space="preserve">building_type</t>
  </si>
  <si>
    <t xml:space="preserve">multi family home or single family home</t>
  </si>
  <si>
    <t xml:space="preserve">MFH or SFH</t>
  </si>
  <si>
    <t xml:space="preserve">MFH</t>
  </si>
  <si>
    <t xml:space="preserve">heated_area</t>
  </si>
  <si>
    <t xml:space="preserve">floor area of heated rooms</t>
  </si>
  <si>
    <t xml:space="preserve">m^2</t>
  </si>
  <si>
    <t xml:space="preserve">heated_volume</t>
  </si>
  <si>
    <t xml:space="preserve">volume of heated rooms</t>
  </si>
  <si>
    <t xml:space="preserve">m^3</t>
  </si>
  <si>
    <t xml:space="preserve">approx. floor_area*room height</t>
  </si>
  <si>
    <t xml:space="preserve">vent_rate</t>
  </si>
  <si>
    <t xml:space="preserve">ventilation rate</t>
  </si>
  <si>
    <t xml:space="preserve">m^3/h</t>
  </si>
  <si>
    <t xml:space="preserve">vent_rate = heated_volume *  0.76 if SFH / 0.8 if MFH</t>
  </si>
  <si>
    <t xml:space="preserve">air_conditioning</t>
  </si>
  <si>
    <t xml:space="preserve">is there automated ventilation?</t>
  </si>
  <si>
    <t xml:space="preserve">bool</t>
  </si>
  <si>
    <t xml:space="preserve">heat_recovery_factor</t>
  </si>
  <si>
    <t xml:space="preserve">fraction of heat that is recovered during ventilation</t>
  </si>
  <si>
    <t xml:space="preserve">air_change</t>
  </si>
  <si>
    <t xml:space="preserve">energy-effective air change rate</t>
  </si>
  <si>
    <t xml:space="preserve">internal_gains</t>
  </si>
  <si>
    <t xml:space="preserve">internal gains by appliances and persons</t>
  </si>
  <si>
    <t xml:space="preserve">transm_loss</t>
  </si>
  <si>
    <t xml:space="preserve">transmission losses through building envelope</t>
  </si>
  <si>
    <t xml:space="preserve">kW/K</t>
  </si>
  <si>
    <t xml:space="preserve">needs to be given if heat demand is not given</t>
  </si>
  <si>
    <t xml:space="preserve">ref_heat_load</t>
  </si>
  <si>
    <t xml:space="preserve">reference heat load (Normheizlast)</t>
  </si>
  <si>
    <t xml:space="preserve">is calculated using transmission losses if not given</t>
  </si>
  <si>
    <t xml:space="preserve">wall_volume</t>
  </si>
  <si>
    <t xml:space="preserve">volume of walls / other components with thermal capacity</t>
  </si>
  <si>
    <t xml:space="preserve">is used for calculating thermal inertia; outer walls only count half!</t>
  </si>
  <si>
    <t xml:space="preserve">wall_th_cap</t>
  </si>
  <si>
    <t xml:space="preserve">avg. thermal capacity of walls</t>
  </si>
  <si>
    <t xml:space="preserve">J/(kg*K)</t>
  </si>
  <si>
    <t xml:space="preserve">default 800</t>
  </si>
  <si>
    <t xml:space="preserve">wall_density</t>
  </si>
  <si>
    <t xml:space="preserve">avg. density of the walls</t>
  </si>
  <si>
    <t xml:space="preserve">kg/m^3</t>
  </si>
  <si>
    <t xml:space="preserve">default 1500</t>
  </si>
  <si>
    <t xml:space="preserve">wall_c_eff</t>
  </si>
  <si>
    <t xml:space="preserve">effective thermal capacity of building volume (c_wirk)</t>
  </si>
  <si>
    <t xml:space="preserve">Wh/(m^3K)</t>
  </si>
  <si>
    <t xml:space="preserve">&lt; 50 light, 50 - 130 middle, &gt; 130 heavy</t>
  </si>
  <si>
    <t xml:space="preserve">Windows (to calculate solar gains) and Solar Potential Data</t>
  </si>
  <si>
    <t xml:space="preserve">wall1_surface_azimuth</t>
  </si>
  <si>
    <t xml:space="preserve">wall orientation </t>
  </si>
  <si>
    <t xml:space="preserve">0° is North, 90° is East, 180° is South, 270° is West</t>
  </si>
  <si>
    <t xml:space="preserve">int</t>
  </si>
  <si>
    <t xml:space="preserve">wall1_surface_tilt</t>
  </si>
  <si>
    <t xml:space="preserve">tilt of wall </t>
  </si>
  <si>
    <t xml:space="preserve">0° is horizontal, 90° is vertical; for flat roofs (=0°) PV systems will be mounted with 10° E-W</t>
  </si>
  <si>
    <t xml:space="preserve">wall1_window_area_m2</t>
  </si>
  <si>
    <t xml:space="preserve">area of total windows in wall</t>
  </si>
  <si>
    <t xml:space="preserve">wall1_window_g_val</t>
  </si>
  <si>
    <t xml:space="preserve">g-value of windows (averaged)</t>
  </si>
  <si>
    <t xml:space="preserve">0 … 1</t>
  </si>
  <si>
    <t xml:space="preserve">wall1_solar_pot_area_m2</t>
  </si>
  <si>
    <t xml:space="preserve">potential area for PV or solarthermal use</t>
  </si>
  <si>
    <t xml:space="preserve">wall1_horizon</t>
  </si>
  <si>
    <t xml:space="preserve">horizon profile in °, e.g. "0,0,0,20,40,60,40,30,0". if nothing is given, horizon is assumed to be at 0°</t>
  </si>
  <si>
    <t xml:space="preserve">see PVGIS documentation on 'userhorizon'</t>
  </si>
  <si>
    <t xml:space="preserve">0,10,20,10,0</t>
  </si>
  <si>
    <t xml:space="preserve">wall 2</t>
  </si>
  <si>
    <t xml:space="preserve">wall2_surface_azimuth</t>
  </si>
  <si>
    <t xml:space="preserve">wall2_surface_tilt</t>
  </si>
  <si>
    <t xml:space="preserve">wall2_window_area_m2</t>
  </si>
  <si>
    <t xml:space="preserve">wall2_window_g_val</t>
  </si>
  <si>
    <t xml:space="preserve">wall2_solar_pot_area_m2</t>
  </si>
  <si>
    <t xml:space="preserve">wall2_horizon</t>
  </si>
  <si>
    <t xml:space="preserve">wall 3</t>
  </si>
  <si>
    <t xml:space="preserve">wall3_surface_azimuth</t>
  </si>
  <si>
    <t xml:space="preserve">wall3_surface_tilt</t>
  </si>
  <si>
    <t xml:space="preserve">wall3_window_area_m2</t>
  </si>
  <si>
    <t xml:space="preserve">wall3_window_g_val</t>
  </si>
  <si>
    <t xml:space="preserve">wall3_solar_pot_area_m2</t>
  </si>
  <si>
    <t xml:space="preserve">wall3_horizon</t>
  </si>
  <si>
    <t xml:space="preserve">wall 4</t>
  </si>
  <si>
    <t xml:space="preserve">wall4_surface_azimuth</t>
  </si>
  <si>
    <t xml:space="preserve">wall4_surface_tilt</t>
  </si>
  <si>
    <t xml:space="preserve">wall4_window_area_m2</t>
  </si>
  <si>
    <t xml:space="preserve">wall4_window_g_val</t>
  </si>
  <si>
    <t xml:space="preserve">wall4_solar_pot_area_m2</t>
  </si>
  <si>
    <t xml:space="preserve">wall4_horizon</t>
  </si>
  <si>
    <t xml:space="preserve">roof 1</t>
  </si>
  <si>
    <t xml:space="preserve">roof1_surface_azimuth</t>
  </si>
  <si>
    <t xml:space="preserve">roof orientation</t>
  </si>
  <si>
    <t xml:space="preserve">roof1_surface_tilt</t>
  </si>
  <si>
    <t xml:space="preserve">tilt of roof </t>
  </si>
  <si>
    <t xml:space="preserve">roof1_window_area_m2</t>
  </si>
  <si>
    <t xml:space="preserve">area of total windows in roof</t>
  </si>
  <si>
    <t xml:space="preserve">roof1_window_g_val</t>
  </si>
  <si>
    <t xml:space="preserve">roof1_solar_pot_area_m2</t>
  </si>
  <si>
    <t xml:space="preserve">roof1_horizon</t>
  </si>
  <si>
    <t xml:space="preserve">roof 2</t>
  </si>
  <si>
    <t xml:space="preserve">roof2_surface_azimuth</t>
  </si>
  <si>
    <t xml:space="preserve">roof2_surface_tilt</t>
  </si>
  <si>
    <t xml:space="preserve">roof2_window_area_m2</t>
  </si>
  <si>
    <t xml:space="preserve">roof2_window_g_val</t>
  </si>
  <si>
    <t xml:space="preserve">roof2_solar_pot_area_m2</t>
  </si>
  <si>
    <t xml:space="preserve">roof2_horizon</t>
  </si>
  <si>
    <t xml:space="preserve">roof 3</t>
  </si>
  <si>
    <t xml:space="preserve">roof3_surface_azimuth</t>
  </si>
  <si>
    <t xml:space="preserve">roof3_surface_tilt</t>
  </si>
  <si>
    <t xml:space="preserve">roof3_window_area_m2</t>
  </si>
  <si>
    <t xml:space="preserve">roof3_window_g_val</t>
  </si>
  <si>
    <t xml:space="preserve">roof3_solar_pot_area_m2</t>
  </si>
  <si>
    <t xml:space="preserve">roof3_horizon</t>
  </si>
  <si>
    <t xml:space="preserve">roof 4</t>
  </si>
  <si>
    <t xml:space="preserve">roof4_surface_azimuth</t>
  </si>
  <si>
    <t xml:space="preserve">roof4_surface_tilt</t>
  </si>
  <si>
    <t xml:space="preserve">roof4_window_area_m2</t>
  </si>
  <si>
    <t xml:space="preserve">roof4_window_g_val</t>
  </si>
  <si>
    <t xml:space="preserve">roof4_solar_pot_area_m2</t>
  </si>
  <si>
    <t xml:space="preserve">roof4_horizon</t>
  </si>
  <si>
    <t xml:space="preserve">Photovoltaic System</t>
  </si>
  <si>
    <t xml:space="preserve">pv1_mount_comp</t>
  </si>
  <si>
    <t xml:space="preserve">Area of building where PV system is mounted </t>
  </si>
  <si>
    <t xml:space="preserve">roof1 ..4, wall1…4</t>
  </si>
  <si>
    <t xml:space="preserve">roof1</t>
  </si>
  <si>
    <t xml:space="preserve">pv1_kwp_per_m2</t>
  </si>
  <si>
    <t xml:space="preserve">module efficiency</t>
  </si>
  <si>
    <t xml:space="preserve">%</t>
  </si>
  <si>
    <t xml:space="preserve">typically 20-25%</t>
  </si>
  <si>
    <t xml:space="preserve">pv1_lifetime</t>
  </si>
  <si>
    <t xml:space="preserve">expected lifetime of product</t>
  </si>
  <si>
    <t xml:space="preserve">a</t>
  </si>
  <si>
    <t xml:space="preserve">in years</t>
  </si>
  <si>
    <t xml:space="preserve">pv1_inv_cost</t>
  </si>
  <si>
    <t xml:space="preserve">investment costs </t>
  </si>
  <si>
    <t xml:space="preserve">€/kWp</t>
  </si>
  <si>
    <t xml:space="preserve">typically 1200 - 1900 €/kWp</t>
  </si>
  <si>
    <t xml:space="preserve">pv1_fix_cost_inv</t>
  </si>
  <si>
    <t xml:space="preserve">investment costs independent of installed capacity</t>
  </si>
  <si>
    <t xml:space="preserve">€/invest</t>
  </si>
  <si>
    <t xml:space="preserve">pv1_fix_cost_one_time</t>
  </si>
  <si>
    <t xml:space="preserve">fix costs at first installation </t>
  </si>
  <si>
    <t xml:space="preserve">€</t>
  </si>
  <si>
    <t xml:space="preserve">e.g. costs for meter change, electrical installation</t>
  </si>
  <si>
    <t xml:space="preserve">pv1_fix_cost_yearly</t>
  </si>
  <si>
    <t xml:space="preserve">fix costs every year</t>
  </si>
  <si>
    <t xml:space="preserve">€/a</t>
  </si>
  <si>
    <t xml:space="preserve">e.g. costs for maintenance, cleaning</t>
  </si>
  <si>
    <t xml:space="preserve">pv1_p_max</t>
  </si>
  <si>
    <t xml:space="preserve">maximum installable capacity</t>
  </si>
  <si>
    <t xml:space="preserve">kWp</t>
  </si>
  <si>
    <t xml:space="preserve">default 1000 kW, actual potential is calculated using the solar potential area (Building Data)</t>
  </si>
  <si>
    <t xml:space="preserve">pv1_p_min</t>
  </si>
  <si>
    <t xml:space="preserve">minimum installable capacity</t>
  </si>
  <si>
    <t xml:space="preserve">pv1_co2eq_per_cap</t>
  </si>
  <si>
    <t xml:space="preserve">carbon intensity of life cycle</t>
  </si>
  <si>
    <t xml:space="preserve">kg CO2 eq. / kWp</t>
  </si>
  <si>
    <t xml:space="preserve">PV 2</t>
  </si>
  <si>
    <t xml:space="preserve">pv2_mount_comp</t>
  </si>
  <si>
    <t xml:space="preserve">pv2_kwp_per_m2</t>
  </si>
  <si>
    <t xml:space="preserve">pv2_lifetime</t>
  </si>
  <si>
    <t xml:space="preserve">pv2_inv_cost</t>
  </si>
  <si>
    <t xml:space="preserve">pv2_fix_cost_inv</t>
  </si>
  <si>
    <t xml:space="preserve">pv2_fix_cost_one_time</t>
  </si>
  <si>
    <t xml:space="preserve">pv2_fix_cost_yearly</t>
  </si>
  <si>
    <t xml:space="preserve">pv2_p_max</t>
  </si>
  <si>
    <t xml:space="preserve">pv2_p_min</t>
  </si>
  <si>
    <t xml:space="preserve">pv2_co2eq_per_cap</t>
  </si>
  <si>
    <t xml:space="preserve">PV 3</t>
  </si>
  <si>
    <t xml:space="preserve">pv3_mount_comp</t>
  </si>
  <si>
    <t xml:space="preserve">roof2</t>
  </si>
  <si>
    <t xml:space="preserve">pv3_kwp_per_m2</t>
  </si>
  <si>
    <t xml:space="preserve">pv3_lifetime</t>
  </si>
  <si>
    <t xml:space="preserve">pv3_inv_cost</t>
  </si>
  <si>
    <t xml:space="preserve">pv3_fix_cost_inv</t>
  </si>
  <si>
    <t xml:space="preserve">pv3_fix_cost_one_time</t>
  </si>
  <si>
    <t xml:space="preserve">pv3_fix_cost_yearly</t>
  </si>
  <si>
    <t xml:space="preserve">pv3_p_max</t>
  </si>
  <si>
    <t xml:space="preserve">pv3_p_min</t>
  </si>
  <si>
    <t xml:space="preserve">pv3_co2eq_per_cap</t>
  </si>
  <si>
    <t xml:space="preserve">PV 4</t>
  </si>
  <si>
    <t xml:space="preserve">pv4_mount_comp</t>
  </si>
  <si>
    <t xml:space="preserve">pv4_kwp_per_m2</t>
  </si>
  <si>
    <t xml:space="preserve">pv4_lifetime</t>
  </si>
  <si>
    <t xml:space="preserve">pv4_inv_cost</t>
  </si>
  <si>
    <t xml:space="preserve">pv4_fix_cost_inv</t>
  </si>
  <si>
    <t xml:space="preserve">pv4_fix_cost_one_time</t>
  </si>
  <si>
    <t xml:space="preserve">pv4_fix_cost_yearly</t>
  </si>
  <si>
    <t xml:space="preserve">pv4_p_max</t>
  </si>
  <si>
    <t xml:space="preserve">pv4_p_min</t>
  </si>
  <si>
    <t xml:space="preserve">pv4_co2eq_per_cap</t>
  </si>
  <si>
    <t xml:space="preserve">Battery Storage</t>
  </si>
  <si>
    <t xml:space="preserve">batt1_eff_in</t>
  </si>
  <si>
    <t xml:space="preserve">charging efficiency inclusively converter</t>
  </si>
  <si>
    <t xml:space="preserve">default 96%</t>
  </si>
  <si>
    <t xml:space="preserve">batt1_eff_out</t>
  </si>
  <si>
    <t xml:space="preserve">discharging efficiency inclusively converter</t>
  </si>
  <si>
    <t xml:space="preserve">batt1_eff_store</t>
  </si>
  <si>
    <t xml:space="preserve">storage efficiency (losses considered hourly)</t>
  </si>
  <si>
    <t xml:space="preserve">default 99.8% ~ 5% per day</t>
  </si>
  <si>
    <t xml:space="preserve">batt1_lifetime</t>
  </si>
  <si>
    <t xml:space="preserve">typically 10 - 15a</t>
  </si>
  <si>
    <t xml:space="preserve">batt1_max_cycles</t>
  </si>
  <si>
    <t xml:space="preserve">maximum number of cycles</t>
  </si>
  <si>
    <t xml:space="preserve">default 3000</t>
  </si>
  <si>
    <t xml:space="preserve">batt1_c_rate_max</t>
  </si>
  <si>
    <t xml:space="preserve">maximum c-rate that can be applied</t>
  </si>
  <si>
    <t xml:space="preserve">default 1</t>
  </si>
  <si>
    <t xml:space="preserve">batt1_c__min_rel</t>
  </si>
  <si>
    <t xml:space="preserve">minimum SOC that is allowed</t>
  </si>
  <si>
    <t xml:space="preserve">default 20%</t>
  </si>
  <si>
    <t xml:space="preserve">batt1_inv_cost</t>
  </si>
  <si>
    <t xml:space="preserve">€/kWh</t>
  </si>
  <si>
    <t xml:space="preserve">typically around 500 - 1500€/kWh</t>
  </si>
  <si>
    <t xml:space="preserve">batt1_fix_cost_inv</t>
  </si>
  <si>
    <t xml:space="preserve">batt1_fix_cost_one_time</t>
  </si>
  <si>
    <t xml:space="preserve">batt1_fix_cost_yearly</t>
  </si>
  <si>
    <t xml:space="preserve">batt1_c_max</t>
  </si>
  <si>
    <t xml:space="preserve">maximum capacity that can be installed</t>
  </si>
  <si>
    <t xml:space="preserve">batt1_c_min </t>
  </si>
  <si>
    <t xml:space="preserve">batt1_co2eq_per_cap</t>
  </si>
  <si>
    <t xml:space="preserve">carbon intensity of life cycle per installed capacity</t>
  </si>
  <si>
    <t xml:space="preserve">kg CO2 eq. / kWh</t>
  </si>
  <si>
    <t xml:space="preserve">default 230</t>
  </si>
  <si>
    <t xml:space="preserve">Solar Thermal</t>
  </si>
  <si>
    <t xml:space="preserve">st1_mount_comp</t>
  </si>
  <si>
    <t xml:space="preserve">st1_collector_type</t>
  </si>
  <si>
    <t xml:space="preserve">type of solar thermal collector</t>
  </si>
  <si>
    <t xml:space="preserve">most common: flatplate_singlecover_sel</t>
  </si>
  <si>
    <t xml:space="preserve">flatplate_singlecover_sel</t>
  </si>
  <si>
    <t xml:space="preserve">st1_lifetime</t>
  </si>
  <si>
    <t xml:space="preserve">st1_inv_cost</t>
  </si>
  <si>
    <t xml:space="preserve">st1_fix_cost_inv</t>
  </si>
  <si>
    <t xml:space="preserve">st1_fix_cost_one_time</t>
  </si>
  <si>
    <t xml:space="preserve">st1_fix_cost_yearly</t>
  </si>
  <si>
    <t xml:space="preserve">st1_p_max</t>
  </si>
  <si>
    <t xml:space="preserve">st1_p_min</t>
  </si>
  <si>
    <t xml:space="preserve">st1_co2eq_per_cap</t>
  </si>
  <si>
    <t xml:space="preserve">kg CO2 eq. / m^2</t>
  </si>
  <si>
    <t xml:space="preserve">default 100</t>
  </si>
  <si>
    <t xml:space="preserve">ST 2</t>
  </si>
  <si>
    <t xml:space="preserve">st2_mount_comp</t>
  </si>
  <si>
    <t xml:space="preserve">st2_collector_type</t>
  </si>
  <si>
    <t xml:space="preserve">st2_lifetime</t>
  </si>
  <si>
    <t xml:space="preserve">st2_inv_cost</t>
  </si>
  <si>
    <t xml:space="preserve">st2_fix_cost_inv</t>
  </si>
  <si>
    <t xml:space="preserve">st2_fix_cost_one_time</t>
  </si>
  <si>
    <t xml:space="preserve">st2_fix_cost_yearly</t>
  </si>
  <si>
    <t xml:space="preserve">st2_p_max</t>
  </si>
  <si>
    <t xml:space="preserve">st2_p_min</t>
  </si>
  <si>
    <t xml:space="preserve">st2_co2eq_per_cap</t>
  </si>
  <si>
    <t xml:space="preserve">ST 3</t>
  </si>
  <si>
    <t xml:space="preserve">st3_mount_comp</t>
  </si>
  <si>
    <t xml:space="preserve">st3_collector_type</t>
  </si>
  <si>
    <t xml:space="preserve">st3_lifetime</t>
  </si>
  <si>
    <t xml:space="preserve">st3_inv_cost</t>
  </si>
  <si>
    <t xml:space="preserve">st3_fix_cost_inv</t>
  </si>
  <si>
    <t xml:space="preserve">st3_fix_cost_one_time</t>
  </si>
  <si>
    <t xml:space="preserve">st3_fix_cost_yearly</t>
  </si>
  <si>
    <t xml:space="preserve">st3_p_max</t>
  </si>
  <si>
    <t xml:space="preserve">st3_p_min</t>
  </si>
  <si>
    <t xml:space="preserve">st3_co2eq_per_cap</t>
  </si>
  <si>
    <t xml:space="preserve">ST 4</t>
  </si>
  <si>
    <t xml:space="preserve">st4_mount_comp</t>
  </si>
  <si>
    <t xml:space="preserve">st4_collector_type</t>
  </si>
  <si>
    <t xml:space="preserve">st4_lifetime</t>
  </si>
  <si>
    <t xml:space="preserve">st4_inv_cost</t>
  </si>
  <si>
    <t xml:space="preserve">st4_fix_cost_inv</t>
  </si>
  <si>
    <t xml:space="preserve">st4_fix_cost_one_time</t>
  </si>
  <si>
    <t xml:space="preserve">st4_fix_cost_yearly</t>
  </si>
  <si>
    <t xml:space="preserve">st4_p_max</t>
  </si>
  <si>
    <t xml:space="preserve">st4_p_min</t>
  </si>
  <si>
    <t xml:space="preserve">st4_co2eq_per_cap</t>
  </si>
  <si>
    <t xml:space="preserve">Heat Pump (Air-water)</t>
  </si>
  <si>
    <t xml:space="preserve">hp1_type</t>
  </si>
  <si>
    <t xml:space="preserve">product name</t>
  </si>
  <si>
    <t xml:space="preserve">specifications need to be given</t>
  </si>
  <si>
    <t xml:space="preserve">vitocal_250A</t>
  </si>
  <si>
    <t xml:space="preserve">hp1_lifetime</t>
  </si>
  <si>
    <t xml:space="preserve">typically 15 years</t>
  </si>
  <si>
    <t xml:space="preserve">hp1_inv_cost</t>
  </si>
  <si>
    <t xml:space="preserve">investment costs for heatpump itself</t>
  </si>
  <si>
    <t xml:space="preserve">hp1_fix_cost_inv</t>
  </si>
  <si>
    <t xml:space="preserve">installation costs independent of HP size</t>
  </si>
  <si>
    <t xml:space="preserve">hp1_fix_cost_one_time</t>
  </si>
  <si>
    <t xml:space="preserve">costs for HP-ready retrofit</t>
  </si>
  <si>
    <t xml:space="preserve">hp1_fix_cost_yearly</t>
  </si>
  <si>
    <t xml:space="preserve">hp1_p_max</t>
  </si>
  <si>
    <t xml:space="preserve">hp1_p_min</t>
  </si>
  <si>
    <t xml:space="preserve">hp1_co2eq_per_cap</t>
  </si>
  <si>
    <t xml:space="preserve">kg CO2 eq. / kW</t>
  </si>
  <si>
    <t xml:space="preserve">default 0</t>
  </si>
  <si>
    <t xml:space="preserve">Air Conditioning (Air-air Heat pump)</t>
  </si>
  <si>
    <t xml:space="preserve">ac1_type</t>
  </si>
  <si>
    <t xml:space="preserve">bosch_ClimateClass8000i</t>
  </si>
  <si>
    <t xml:space="preserve">ac1_lifetime</t>
  </si>
  <si>
    <t xml:space="preserve">ac1_inv_cost</t>
  </si>
  <si>
    <t xml:space="preserve">ac1_fix_cost_inv</t>
  </si>
  <si>
    <t xml:space="preserve">ac1_fix_cost_one_time</t>
  </si>
  <si>
    <t xml:space="preserve">ac1_fix_cost_yearly</t>
  </si>
  <si>
    <t xml:space="preserve">ac1_p_max</t>
  </si>
  <si>
    <t xml:space="preserve">ac1_p_min</t>
  </si>
  <si>
    <t xml:space="preserve">ac1_co2eq_per_cap</t>
  </si>
  <si>
    <t xml:space="preserve">Direct Electric Heater</t>
  </si>
  <si>
    <t xml:space="preserve">deh1_eff</t>
  </si>
  <si>
    <t xml:space="preserve">efficiency</t>
  </si>
  <si>
    <t xml:space="preserve">deh1_lifetime</t>
  </si>
  <si>
    <t xml:space="preserve">typicaly 15 years</t>
  </si>
  <si>
    <t xml:space="preserve">deh1_inv_cost</t>
  </si>
  <si>
    <t xml:space="preserve">deh1_fix_cost_inv</t>
  </si>
  <si>
    <t xml:space="preserve">deh1_fix_cost_one_time</t>
  </si>
  <si>
    <t xml:space="preserve">deh1_fix_cost_yearly</t>
  </si>
  <si>
    <t xml:space="preserve">deh1_p_max</t>
  </si>
  <si>
    <t xml:space="preserve">deh1_p_min</t>
  </si>
  <si>
    <t xml:space="preserve">deh1_co2eq_per_cap</t>
  </si>
  <si>
    <t xml:space="preserve">Buffer Storage</t>
  </si>
  <si>
    <t xml:space="preserve">buffsto1_eff_in</t>
  </si>
  <si>
    <t xml:space="preserve">default 95%</t>
  </si>
  <si>
    <t xml:space="preserve">buffsto1_eff_out</t>
  </si>
  <si>
    <t xml:space="preserve">buffsto1_eff_store</t>
  </si>
  <si>
    <t xml:space="preserve">default 99.5%</t>
  </si>
  <si>
    <t xml:space="preserve">buffsto1_lifetime</t>
  </si>
  <si>
    <t xml:space="preserve">buffsto1_c_rate_max</t>
  </si>
  <si>
    <t xml:space="preserve">buffsto1_c__min_rel</t>
  </si>
  <si>
    <t xml:space="preserve">default  0%</t>
  </si>
  <si>
    <t xml:space="preserve">buffsto1_max_temp</t>
  </si>
  <si>
    <t xml:space="preserve">maximum temperature allowed in buffer storage</t>
  </si>
  <si>
    <t xml:space="preserve">By raising the buffer storage temperature more energy can be stored in the same volume</t>
  </si>
  <si>
    <t xml:space="preserve">buffsto1_inv_cost</t>
  </si>
  <si>
    <t xml:space="preserve">€/l</t>
  </si>
  <si>
    <t xml:space="preserve">buffsto1_fix_cost_inv</t>
  </si>
  <si>
    <t xml:space="preserve">buffsto1_fix_cost_one_time</t>
  </si>
  <si>
    <t xml:space="preserve">buffsto1_fix_cost_yearly</t>
  </si>
  <si>
    <t xml:space="preserve">buffsto1_c_max_l</t>
  </si>
  <si>
    <t xml:space="preserve">space constraints, typically 1000l</t>
  </si>
  <si>
    <t xml:space="preserve">buffsto1_c_min_l</t>
  </si>
  <si>
    <t xml:space="preserve">buffsto1_co2eq_per_cap</t>
  </si>
  <si>
    <t xml:space="preserve">Hot Water Storage</t>
  </si>
  <si>
    <t xml:space="preserve">dhwsto1_eff_in</t>
  </si>
  <si>
    <t xml:space="preserve">dhwsto1_eff_out</t>
  </si>
  <si>
    <t xml:space="preserve">dhwsto1_eff_store</t>
  </si>
  <si>
    <t xml:space="preserve">default 99.9%</t>
  </si>
  <si>
    <t xml:space="preserve">dhwsto1_lifetime</t>
  </si>
  <si>
    <t xml:space="preserve">dhwsto1_c_rate_max</t>
  </si>
  <si>
    <t xml:space="preserve">dhwsto1_c__min_rel</t>
  </si>
  <si>
    <t xml:space="preserve">dhwsto1_inv_cost</t>
  </si>
  <si>
    <t xml:space="preserve">dhwsto1_fix_cost_inv</t>
  </si>
  <si>
    <t xml:space="preserve">dhwsto1_fix_cost_one_time</t>
  </si>
  <si>
    <t xml:space="preserve">dhwsto1_fix_cost_yearly</t>
  </si>
  <si>
    <t xml:space="preserve">dhwsto1_c_max</t>
  </si>
  <si>
    <t xml:space="preserve">dhwsto1_c_min</t>
  </si>
  <si>
    <t xml:space="preserve">dhwsto1_co2eq_per_cap</t>
  </si>
  <si>
    <t xml:space="preserve">Boiler</t>
  </si>
  <si>
    <t xml:space="preserve">boiler1_eff</t>
  </si>
  <si>
    <t xml:space="preserve">85% - 100% depending on type</t>
  </si>
  <si>
    <t xml:space="preserve">boiler1_lifetime</t>
  </si>
  <si>
    <t xml:space="preserve">boiler1_inv_cost</t>
  </si>
  <si>
    <t xml:space="preserve">€/kW</t>
  </si>
  <si>
    <t xml:space="preserve">cost increase per kW boiler capacity</t>
  </si>
  <si>
    <t xml:space="preserve">boiler1_fix_cost_inv</t>
  </si>
  <si>
    <t xml:space="preserve">minimum installation costs for boiler</t>
  </si>
  <si>
    <t xml:space="preserve">boiler1_fix_cost_one_time</t>
  </si>
  <si>
    <t xml:space="preserve">boiler1_fix_cost_yearly</t>
  </si>
  <si>
    <t xml:space="preserve">boiler1_var_cost_t</t>
  </si>
  <si>
    <t xml:space="preserve">variable costs</t>
  </si>
  <si>
    <t xml:space="preserve">fuel costs need to be given here</t>
  </si>
  <si>
    <t xml:space="preserve">boiler1_p_max</t>
  </si>
  <si>
    <t xml:space="preserve">boiler1_p_min</t>
  </si>
  <si>
    <t xml:space="preserve">minimum capacity that can be installed</t>
  </si>
  <si>
    <t xml:space="preserve">boiler1_co2eq_per_kwh_t</t>
  </si>
  <si>
    <t xml:space="preserve">carbon intensity per kWh</t>
  </si>
  <si>
    <t xml:space="preserve">includes carbon intensity for fuel; 
gas: 0.2 (0.57 @ 2% leakage)
oil: 0.27
wood: 0.0 - 0.37 depending on forestry</t>
  </si>
  <si>
    <t xml:space="preserve">Refurbishments</t>
  </si>
  <si>
    <t xml:space="preserve">refurb1_dem_red_factor</t>
  </si>
  <si>
    <t xml:space="preserve">demand reduction of refurbishment measure </t>
  </si>
  <si>
    <t xml:space="preserve">percentage of total heat losses reduced</t>
  </si>
  <si>
    <t xml:space="preserve">refurb1_lifetime</t>
  </si>
  <si>
    <t xml:space="preserve">refurb1_is_built</t>
  </si>
  <si>
    <t xml:space="preserve">force refurbishment option</t>
  </si>
  <si>
    <t xml:space="preserve">1: refurbishment forced, 
0: refurbishment not built,
empty: decision cost-optimized</t>
  </si>
  <si>
    <t xml:space="preserve">refurb1_fix_cost_inv</t>
  </si>
  <si>
    <t xml:space="preserve">refurb1_fix_cost_one_time</t>
  </si>
  <si>
    <t xml:space="preserve">refurb1_sto_co2eq_per_cap</t>
  </si>
  <si>
    <t xml:space="preserve">carbon intensity</t>
  </si>
  <si>
    <t xml:space="preserve">kg CO2 eq.</t>
  </si>
  <si>
    <t xml:space="preserve">refurb2_dem_reduction</t>
  </si>
  <si>
    <t xml:space="preserve">refurb2_lifetime</t>
  </si>
  <si>
    <t xml:space="preserve">refurb2_fix_cost_inv</t>
  </si>
  <si>
    <t xml:space="preserve">refurb2_fix_cost_one_time</t>
  </si>
  <si>
    <t xml:space="preserve">refurb2_sto_co2eq_per_cap</t>
  </si>
  <si>
    <t xml:space="preserve">General Economic Data</t>
  </si>
  <si>
    <t xml:space="preserve">real_interest_rate</t>
  </si>
  <si>
    <t xml:space="preserve">interest rate</t>
  </si>
  <si>
    <t xml:space="preserve">real interest rate</t>
  </si>
  <si>
    <t xml:space="preserve">duration</t>
  </si>
  <si>
    <t xml:space="preserve">duration of modelling period</t>
  </si>
  <si>
    <t xml:space="preserve">years</t>
  </si>
  <si>
    <t xml:space="preserve">period to be modelled</t>
  </si>
  <si>
    <t xml:space="preserve">Electricity Prices</t>
  </si>
  <si>
    <t xml:space="preserve">el_hh_kwh_rate</t>
  </si>
  <si>
    <t xml:space="preserve">flat tariff for households</t>
  </si>
  <si>
    <t xml:space="preserve">ct/kWh</t>
  </si>
  <si>
    <t xml:space="preserve">volumetric price component</t>
  </si>
  <si>
    <t xml:space="preserve">el_hh_basic_charge</t>
  </si>
  <si>
    <t xml:space="preserve">basic monthly charge independent of consumption</t>
  </si>
  <si>
    <t xml:space="preserve">€/month</t>
  </si>
  <si>
    <t xml:space="preserve">basic monthly charge</t>
  </si>
  <si>
    <t xml:space="preserve">el_hh_is_dynamic_tariff</t>
  </si>
  <si>
    <t xml:space="preserve">decision variable if flat tariff is applied</t>
  </si>
  <si>
    <t xml:space="preserve">dynamic tariff is automatically calculated based on EEX-prices, kwh rates and basic charges are applied additionally</t>
  </si>
  <si>
    <t xml:space="preserve">el_hh_var_grid_fees</t>
  </si>
  <si>
    <t xml:space="preserve">decision variable for applying variable grid fees (EnWG 14a)</t>
  </si>
  <si>
    <t xml:space="preserve">el_hh_grid_to_battery</t>
  </si>
  <si>
    <t xml:space="preserve">decision variable whether battery can be charged with electricity from grid</t>
  </si>
  <si>
    <t xml:space="preserve">el_hp_kwh_rate</t>
  </si>
  <si>
    <t xml:space="preserve">el_hp_basic_charge</t>
  </si>
  <si>
    <t xml:space="preserve">el_hp_is_dynamic_tariff</t>
  </si>
  <si>
    <t xml:space="preserve">el_hp_var_grid_fees</t>
  </si>
  <si>
    <t xml:space="preserve">el_hp_grid_to_battery</t>
  </si>
  <si>
    <t xml:space="preserve">el_emob_kwh_rate</t>
  </si>
  <si>
    <t xml:space="preserve">el_emob_basic_charge</t>
  </si>
  <si>
    <t xml:space="preserve">el_emob_is_dynamic_tariff</t>
  </si>
  <si>
    <t xml:space="preserve">el_emob_var_grid_fees</t>
  </si>
  <si>
    <t xml:space="preserve">el_emob_grid_to_battery</t>
  </si>
  <si>
    <t xml:space="preserve">el_feedin_kwh_rate</t>
  </si>
  <si>
    <t xml:space="preserve">fixed feed-in rate (EEG-Vergütung)</t>
  </si>
  <si>
    <t xml:space="preserve">EEG feed-in remuneration, in case of direct marketed this corresponds to the guaranteed min. price (Marktprämienmodell)</t>
  </si>
  <si>
    <t xml:space="preserve">el_feedin_is_directly_marketed</t>
  </si>
  <si>
    <t xml:space="preserve">decision variable whether direct marketing condisitons are applied</t>
  </si>
  <si>
    <t xml:space="preserve">if feed-in is directly marketed, feed-in revenues are calculated by EEX-market data</t>
  </si>
  <si>
    <t xml:space="preserve">CO2 Price</t>
  </si>
  <si>
    <t xml:space="preserve">co2_price</t>
  </si>
  <si>
    <t xml:space="preserve">CO2-price</t>
  </si>
  <si>
    <t xml:space="preserve">€/ton</t>
  </si>
  <si>
    <t xml:space="preserve">In 2025: 55€/t, in 2026: 55-65€/t, from 2027 on cap and trade (expectations of 100 - 200€/t</t>
  </si>
  <si>
    <t xml:space="preserve">(Variable) Grid Fees (EnWG 14a)</t>
  </si>
  <si>
    <t xml:space="preserve">grid_fees_st</t>
  </si>
  <si>
    <t xml:space="preserve">standarf tariff</t>
  </si>
  <si>
    <t xml:space="preserve">e.g. 10ct/kWh</t>
  </si>
  <si>
    <t xml:space="preserve">tvg_lt_summer</t>
  </si>
  <si>
    <t xml:space="preserve">low tariff </t>
  </si>
  <si>
    <t xml:space="preserve">e.g. 20ct/kWh</t>
  </si>
  <si>
    <t xml:space="preserve">tvg_lt_windows_summer</t>
  </si>
  <si>
    <t xml:space="preserve">low tariff window</t>
  </si>
  <si>
    <t xml:space="preserve">h</t>
  </si>
  <si>
    <t xml:space="preserve">HH-HH separated by comma e.g. "8-9,17-20"</t>
  </si>
  <si>
    <t xml:space="preserve">tvg_ht_summer</t>
  </si>
  <si>
    <t xml:space="preserve">high tariff </t>
  </si>
  <si>
    <t xml:space="preserve">tvg_ht_windows_summer</t>
  </si>
  <si>
    <t xml:space="preserve">high tariff window</t>
  </si>
  <si>
    <t xml:space="preserve">tvg_lt_transition</t>
  </si>
  <si>
    <t xml:space="preserve">tvg_lt_windows_transition</t>
  </si>
  <si>
    <t xml:space="preserve">tvg_ht_transition</t>
  </si>
  <si>
    <t xml:space="preserve">tvg_ht_windows_transition</t>
  </si>
  <si>
    <t xml:space="preserve">17-20</t>
  </si>
  <si>
    <t xml:space="preserve">tvg_lt_winter</t>
  </si>
  <si>
    <t xml:space="preserve">tvg_lt_windows_winter</t>
  </si>
  <si>
    <t xml:space="preserve">tvg_ht_winter</t>
  </si>
  <si>
    <t xml:space="preserve">tvg_ht_windows_winter</t>
  </si>
  <si>
    <t xml:space="preserve">modeled_year</t>
  </si>
  <si>
    <t xml:space="preserve">year that is modeled</t>
  </si>
  <si>
    <t xml:space="preserve">must be in the range of 2019 - 2023</t>
  </si>
  <si>
    <t xml:space="preserve">apply_timeseries_reduction</t>
  </si>
  <si>
    <t xml:space="preserve">timeseries reduction reduces year to one typical refernce week per season</t>
  </si>
  <si>
    <t xml:space="preserve">for performance reasons timeseries reduction is recommended</t>
  </si>
  <si>
    <t xml:space="preserve">INDEX</t>
  </si>
  <si>
    <t xml:space="preserve">VALUES</t>
  </si>
  <si>
    <t xml:space="preserve">hp_type</t>
  </si>
  <si>
    <t xml:space="preserve">param</t>
  </si>
  <si>
    <t xml:space="preserve">flow_temp</t>
  </si>
  <si>
    <t xml:space="preserve">COP</t>
  </si>
  <si>
    <t xml:space="preserve">Qmax</t>
  </si>
  <si>
    <t xml:space="preserve">building_area_components</t>
  </si>
  <si>
    <t xml:space="preserve">st_collector_types</t>
  </si>
  <si>
    <t xml:space="preserve">hp_types_air_water</t>
  </si>
  <si>
    <t xml:space="preserve">ac_types</t>
  </si>
  <si>
    <t xml:space="preserve">charging_type</t>
  </si>
  <si>
    <t xml:space="preserve">dhw_l_per_person</t>
  </si>
  <si>
    <t xml:space="preserve">absorber</t>
  </si>
  <si>
    <t xml:space="preserve">SFH</t>
  </si>
  <si>
    <t xml:space="preserve">flatplate_singlecover_nonsel</t>
  </si>
  <si>
    <t xml:space="preserve">roof3</t>
  </si>
  <si>
    <t xml:space="preserve">roof4</t>
  </si>
  <si>
    <t xml:space="preserve">wall1</t>
  </si>
  <si>
    <t xml:space="preserve">vacuumtube</t>
  </si>
  <si>
    <t xml:space="preserve">wall2</t>
  </si>
  <si>
    <t xml:space="preserve">wall3</t>
  </si>
  <si>
    <t xml:space="preserve">wall4</t>
  </si>
</sst>
</file>

<file path=xl/styles.xml><?xml version="1.0" encoding="utf-8"?>
<styleSheet xmlns="http://schemas.openxmlformats.org/spreadsheetml/2006/main">
  <numFmts count="10">
    <numFmt numFmtId="164" formatCode="General"/>
    <numFmt numFmtId="165" formatCode="General"/>
    <numFmt numFmtId="166" formatCode="0"/>
    <numFmt numFmtId="167" formatCode="0%"/>
    <numFmt numFmtId="168" formatCode="d\-mmm\-yy"/>
    <numFmt numFmtId="169" formatCode="@"/>
    <numFmt numFmtId="170" formatCode="0.0"/>
    <numFmt numFmtId="171" formatCode="0.00"/>
    <numFmt numFmtId="172" formatCode="0.00%"/>
    <numFmt numFmtId="173" formatCode="0.0%"/>
  </numFmts>
  <fonts count="20">
    <font>
      <sz val="11"/>
      <color theme="1"/>
      <name val="Aptos Narrow"/>
      <family val="2"/>
      <charset val="1"/>
    </font>
    <font>
      <sz val="10"/>
      <name val="Arial"/>
      <family val="0"/>
    </font>
    <font>
      <sz val="10"/>
      <name val="Arial"/>
      <family val="0"/>
    </font>
    <font>
      <sz val="10"/>
      <name val="Arial"/>
      <family val="0"/>
    </font>
    <font>
      <i val="true"/>
      <sz val="11"/>
      <color theme="1"/>
      <name val="Aptos Narrow"/>
      <family val="2"/>
      <charset val="1"/>
    </font>
    <font>
      <sz val="11"/>
      <color rgb="FFFF0000"/>
      <name val="Aptos Narrow"/>
      <family val="2"/>
      <charset val="1"/>
    </font>
    <font>
      <b val="true"/>
      <sz val="11"/>
      <color theme="1"/>
      <name val="Aptos Narrow"/>
      <family val="2"/>
      <charset val="1"/>
    </font>
    <font>
      <sz val="11"/>
      <color theme="0"/>
      <name val="Aptos Narrow"/>
      <family val="2"/>
      <charset val="1"/>
    </font>
    <font>
      <b val="true"/>
      <sz val="11"/>
      <color rgb="FFFF0000"/>
      <name val="Aptos Narrow"/>
      <family val="2"/>
      <charset val="1"/>
    </font>
    <font>
      <sz val="11"/>
      <color theme="0" tint="-0.15"/>
      <name val="Aptos Narrow"/>
      <family val="2"/>
      <charset val="1"/>
    </font>
    <font>
      <b val="true"/>
      <i val="true"/>
      <sz val="11"/>
      <color theme="1"/>
      <name val="Aptos Narrow"/>
      <family val="2"/>
      <charset val="1"/>
    </font>
    <font>
      <b val="true"/>
      <sz val="11"/>
      <name val="Aptos Narrow"/>
      <family val="2"/>
      <charset val="1"/>
    </font>
    <font>
      <sz val="11"/>
      <name val="Aptos Narrow"/>
      <family val="2"/>
      <charset val="1"/>
    </font>
    <font>
      <sz val="10"/>
      <color rgb="FF000000"/>
      <name val="Aptos Narrow"/>
      <family val="2"/>
    </font>
    <font>
      <sz val="9"/>
      <color rgb="FF595959"/>
      <name val="Aptos Narrow"/>
      <family val="2"/>
    </font>
    <font>
      <b val="true"/>
      <i val="true"/>
      <sz val="11"/>
      <name val="Aptos Narrow"/>
      <family val="2"/>
      <charset val="1"/>
    </font>
    <font>
      <i val="true"/>
      <sz val="11"/>
      <name val="Aptos Narrow"/>
      <family val="2"/>
      <charset val="1"/>
    </font>
    <font>
      <u val="single"/>
      <sz val="11"/>
      <color theme="10"/>
      <name val="Aptos Narrow"/>
      <family val="2"/>
      <charset val="1"/>
    </font>
    <font>
      <sz val="11"/>
      <color theme="1" tint="0.4999"/>
      <name val="Aptos Narrow"/>
      <family val="2"/>
      <charset val="1"/>
    </font>
    <font>
      <sz val="14"/>
      <color rgb="FF595959"/>
      <name val="Aptos Narrow"/>
      <family val="2"/>
    </font>
  </fonts>
  <fills count="9">
    <fill>
      <patternFill patternType="none"/>
    </fill>
    <fill>
      <patternFill patternType="gray125"/>
    </fill>
    <fill>
      <patternFill patternType="solid">
        <fgColor theme="9"/>
        <bgColor rgb="FF808000"/>
      </patternFill>
    </fill>
    <fill>
      <patternFill patternType="solid">
        <fgColor rgb="FFFFC000"/>
        <bgColor rgb="FFFF9900"/>
      </patternFill>
    </fill>
    <fill>
      <patternFill patternType="solid">
        <fgColor theme="1" tint="0.4999"/>
        <bgColor rgb="FF8B8B8B"/>
      </patternFill>
    </fill>
    <fill>
      <patternFill patternType="solid">
        <fgColor theme="3" tint="0.7499"/>
        <bgColor rgb="FFD9D9D9"/>
      </patternFill>
    </fill>
    <fill>
      <patternFill patternType="solid">
        <fgColor theme="2"/>
        <bgColor rgb="FFD9D9D9"/>
      </patternFill>
    </fill>
    <fill>
      <patternFill patternType="solid">
        <fgColor theme="9" tint="0.3999"/>
        <bgColor rgb="FF92D050"/>
      </patternFill>
    </fill>
    <fill>
      <patternFill patternType="solid">
        <fgColor theme="0"/>
        <bgColor rgb="FFE8E8E8"/>
      </patternFill>
    </fill>
  </fills>
  <borders count="2">
    <border diagonalUp="false" diagonalDown="false">
      <left/>
      <right/>
      <top/>
      <bottom/>
      <diagonal/>
    </border>
    <border diagonalUp="false" diagonalDown="false">
      <left style="thin">
        <color theme="1" tint="0.4999"/>
      </left>
      <right style="thin">
        <color theme="1" tint="0.4999"/>
      </right>
      <top style="thin">
        <color theme="1" tint="0.4999"/>
      </top>
      <bottom style="thin">
        <color theme="1" tint="0.4999"/>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7" fontId="0" fillId="0" borderId="0" applyFont="true" applyBorder="false" applyAlignment="true" applyProtection="false">
      <alignment horizontal="general" vertical="bottom" textRotation="0" wrapText="false" indent="0" shrinkToFit="false"/>
    </xf>
    <xf numFmtId="164" fontId="17" fillId="0" borderId="0" applyFont="true" applyBorder="false" applyAlignment="true" applyProtection="false">
      <alignment horizontal="general" vertical="bottom" textRotation="0" wrapText="false" indent="0" shrinkToFit="false"/>
    </xf>
  </cellStyleXfs>
  <cellXfs count="6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0" fillId="4"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4" fontId="6" fillId="5" borderId="1" xfId="0" applyFont="true" applyBorder="true" applyAlignment="false" applyProtection="false">
      <alignment horizontal="general" vertical="bottom" textRotation="0" wrapText="false" indent="0" shrinkToFit="false"/>
      <protection locked="true" hidden="false"/>
    </xf>
    <xf numFmtId="164" fontId="6" fillId="6" borderId="1" xfId="0" applyFont="true" applyBorder="true" applyAlignment="false" applyProtection="false">
      <alignment horizontal="general" vertical="bottom" textRotation="0" wrapText="false" indent="0" shrinkToFit="false"/>
      <protection locked="true" hidden="false"/>
    </xf>
    <xf numFmtId="164" fontId="6" fillId="7" borderId="1" xfId="0" applyFont="true" applyBorder="true" applyAlignment="false" applyProtection="false">
      <alignment horizontal="general" vertical="bottom" textRotation="0" wrapText="false" indent="0" shrinkToFit="false"/>
      <protection locked="true" hidden="false"/>
    </xf>
    <xf numFmtId="164" fontId="8" fillId="5" borderId="1" xfId="0" applyFont="true" applyBorder="true" applyAlignment="false" applyProtection="false">
      <alignment horizontal="general" vertical="bottom" textRotation="0" wrapText="false" indent="0" shrinkToFit="false"/>
      <protection locked="true" hidden="false"/>
    </xf>
    <xf numFmtId="164" fontId="0" fillId="6" borderId="1" xfId="0" applyFont="true" applyBorder="true" applyAlignment="false" applyProtection="false">
      <alignment horizontal="general" vertical="bottom" textRotation="0" wrapText="false" indent="0" shrinkToFit="false"/>
      <protection locked="true" hidden="false"/>
    </xf>
    <xf numFmtId="164" fontId="5" fillId="7" borderId="1" xfId="0" applyFont="true" applyBorder="true" applyAlignment="false" applyProtection="false">
      <alignment horizontal="general" vertical="bottom" textRotation="0" wrapText="false" indent="0" shrinkToFit="false"/>
      <protection locked="true" hidden="false"/>
    </xf>
    <xf numFmtId="165" fontId="9" fillId="7" borderId="1" xfId="0" applyFont="true" applyBorder="true" applyAlignment="false" applyProtection="false">
      <alignment horizontal="general" vertical="bottom" textRotation="0" wrapText="false" indent="0" shrinkToFit="false"/>
      <protection locked="true" hidden="false"/>
    </xf>
    <xf numFmtId="164" fontId="6" fillId="8" borderId="0" xfId="0" applyFont="true" applyBorder="false" applyAlignment="false" applyProtection="false">
      <alignment horizontal="general" vertical="bottom" textRotation="0" wrapText="false" indent="0" shrinkToFit="false"/>
      <protection locked="true" hidden="false"/>
    </xf>
    <xf numFmtId="166" fontId="0" fillId="8" borderId="0" xfId="0" applyFont="false" applyBorder="false" applyAlignment="true" applyProtection="false">
      <alignment horizontal="right"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0" fillId="8" borderId="0" xfId="0" applyFont="false" applyBorder="false" applyAlignment="false" applyProtection="false">
      <alignment horizontal="general" vertical="bottom" textRotation="0" wrapText="false" indent="0" shrinkToFit="false"/>
      <protection locked="true" hidden="false"/>
    </xf>
    <xf numFmtId="165" fontId="6" fillId="8" borderId="0" xfId="0" applyFont="true" applyBorder="false" applyAlignment="true" applyProtection="false">
      <alignment horizontal="right" vertical="bottom" textRotation="0" wrapText="false" indent="0" shrinkToFit="false"/>
      <protection locked="true" hidden="false"/>
    </xf>
    <xf numFmtId="166" fontId="0" fillId="7" borderId="1" xfId="19" applyFont="true" applyBorder="true" applyAlignment="true" applyProtection="true">
      <alignment horizontal="general" vertical="bottom" textRotation="0" wrapText="false" indent="0" shrinkToFit="false"/>
      <protection locked="true" hidden="false"/>
    </xf>
    <xf numFmtId="164" fontId="0" fillId="8" borderId="0" xfId="0" applyFont="true" applyBorder="false" applyAlignment="true" applyProtection="false">
      <alignment horizontal="general" vertical="center" textRotation="0" wrapText="true" indent="0" shrinkToFit="false"/>
      <protection locked="true" hidden="false"/>
    </xf>
    <xf numFmtId="164" fontId="0" fillId="8" borderId="0" xfId="0" applyFont="false" applyBorder="false" applyAlignment="true" applyProtection="false">
      <alignment horizontal="general" vertical="center" textRotation="0" wrapText="true" indent="0" shrinkToFit="false"/>
      <protection locked="true" hidden="false"/>
    </xf>
    <xf numFmtId="164" fontId="0" fillId="7" borderId="1" xfId="0" applyFont="false" applyBorder="true" applyAlignment="false" applyProtection="false">
      <alignment horizontal="general" vertical="bottom" textRotation="0" wrapText="false" indent="0" shrinkToFit="false"/>
      <protection locked="true" hidden="false"/>
    </xf>
    <xf numFmtId="164" fontId="0" fillId="7" borderId="1" xfId="19" applyFont="true" applyBorder="true" applyAlignment="true" applyProtection="true">
      <alignment horizontal="general" vertical="bottom" textRotation="0" wrapText="false" indent="0" shrinkToFit="false"/>
      <protection locked="true" hidden="false"/>
    </xf>
    <xf numFmtId="167" fontId="0" fillId="0" borderId="0" xfId="19" applyFont="true" applyBorder="true" applyAlignment="true" applyProtection="true">
      <alignment horizontal="general" vertical="bottom" textRotation="0" wrapText="false" indent="0" shrinkToFit="false"/>
      <protection locked="true" hidden="false"/>
    </xf>
    <xf numFmtId="164" fontId="0" fillId="8" borderId="0" xfId="0" applyFont="false" applyBorder="false" applyAlignment="true" applyProtection="false">
      <alignment horizontal="general" vertical="center" textRotation="0" wrapText="false" indent="0" shrinkToFit="false"/>
      <protection locked="true" hidden="false"/>
    </xf>
    <xf numFmtId="168" fontId="11" fillId="5" borderId="1" xfId="0" applyFont="true" applyBorder="true" applyAlignment="false" applyProtection="false">
      <alignment horizontal="general" vertical="bottom" textRotation="0" wrapText="false" indent="0" shrinkToFit="false"/>
      <protection locked="true" hidden="false"/>
    </xf>
    <xf numFmtId="164" fontId="12" fillId="6" borderId="1" xfId="0" applyFont="true" applyBorder="true" applyAlignment="false" applyProtection="false">
      <alignment horizontal="general" vertical="bottom" textRotation="0" wrapText="false" indent="0" shrinkToFit="false"/>
      <protection locked="true" hidden="false"/>
    </xf>
    <xf numFmtId="164" fontId="0" fillId="6" borderId="1" xfId="0" applyFont="true" applyBorder="true" applyAlignment="true" applyProtection="false">
      <alignment horizontal="general" vertical="bottom" textRotation="0" wrapText="true" indent="0" shrinkToFit="false"/>
      <protection locked="true" hidden="false"/>
    </xf>
    <xf numFmtId="169" fontId="0" fillId="7" borderId="1" xfId="0" applyFont="true" applyBorder="true" applyAlignment="false" applyProtection="false">
      <alignment horizontal="general" vertical="bottom" textRotation="0" wrapText="false" indent="0" shrinkToFit="false"/>
      <protection locked="true" hidden="false"/>
    </xf>
    <xf numFmtId="164" fontId="0" fillId="7" borderId="1"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6" fillId="6" borderId="1" xfId="0" applyFont="true" applyBorder="true" applyAlignment="true" applyProtection="false">
      <alignment horizontal="general" vertical="bottom" textRotation="0" wrapText="tru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5" fontId="12" fillId="7" borderId="1" xfId="0" applyFont="true" applyBorder="true" applyAlignment="false" applyProtection="false">
      <alignment horizontal="general" vertical="bottom" textRotation="0" wrapText="false" indent="0" shrinkToFit="false"/>
      <protection locked="true" hidden="false"/>
    </xf>
    <xf numFmtId="164" fontId="12" fillId="6" borderId="1" xfId="0" applyFont="true" applyBorder="true" applyAlignment="true" applyProtection="false">
      <alignment horizontal="general" vertical="bottom" textRotation="0" wrapText="true" indent="0" shrinkToFit="false"/>
      <protection locked="true" hidden="false"/>
    </xf>
    <xf numFmtId="164" fontId="11" fillId="5" borderId="1" xfId="0" applyFont="true" applyBorder="true" applyAlignment="false" applyProtection="false">
      <alignment horizontal="general" vertical="bottom" textRotation="0" wrapText="false" indent="0" shrinkToFit="false"/>
      <protection locked="true" hidden="false"/>
    </xf>
    <xf numFmtId="170" fontId="0" fillId="7" borderId="1" xfId="0" applyFont="false" applyBorder="tru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true" indent="0" shrinkToFit="false"/>
      <protection locked="true" hidden="false"/>
    </xf>
    <xf numFmtId="164" fontId="17" fillId="6" borderId="1" xfId="20" applyFont="true" applyBorder="true" applyAlignment="true" applyProtection="true">
      <alignment horizontal="general" vertical="bottom"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71" fontId="5"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true" indent="0" shrinkToFit="false"/>
      <protection locked="true" hidden="false"/>
    </xf>
    <xf numFmtId="167" fontId="0" fillId="7" borderId="1" xfId="19" applyFont="true" applyBorder="true" applyAlignment="true" applyProtection="true">
      <alignment horizontal="general" vertical="bottom" textRotation="0" wrapText="false" indent="0" shrinkToFit="false"/>
      <protection locked="true" hidden="false"/>
    </xf>
    <xf numFmtId="172" fontId="0" fillId="7" borderId="1" xfId="19" applyFont="true" applyBorder="true" applyAlignment="true" applyProtection="true">
      <alignment horizontal="general" vertical="bottom" textRotation="0" wrapText="false" indent="0" shrinkToFit="false"/>
      <protection locked="true" hidden="false"/>
    </xf>
    <xf numFmtId="173" fontId="0" fillId="7" borderId="1" xfId="19" applyFont="true" applyBorder="true" applyAlignment="true" applyProtection="true">
      <alignment horizontal="general" vertical="bottom" textRotation="0" wrapText="false" indent="0" shrinkToFit="false"/>
      <protection locked="true" hidden="false"/>
    </xf>
    <xf numFmtId="164" fontId="6" fillId="5" borderId="1" xfId="0" applyFont="true" applyBorder="true" applyAlignment="true" applyProtection="false">
      <alignment horizontal="general" vertical="top" textRotation="0" wrapText="false" indent="0" shrinkToFit="false"/>
      <protection locked="true" hidden="false"/>
    </xf>
    <xf numFmtId="164" fontId="0" fillId="6" borderId="1" xfId="0" applyFont="true" applyBorder="true" applyAlignment="true" applyProtection="false">
      <alignment horizontal="general" vertical="top" textRotation="0" wrapText="false" indent="0" shrinkToFit="false"/>
      <protection locked="true" hidden="false"/>
    </xf>
    <xf numFmtId="164" fontId="0" fillId="6" borderId="1" xfId="0" applyFont="true" applyBorder="true" applyAlignment="true" applyProtection="false">
      <alignment horizontal="general" vertical="top" textRotation="0" wrapText="true" indent="0" shrinkToFit="false"/>
      <protection locked="true" hidden="false"/>
    </xf>
    <xf numFmtId="164" fontId="0" fillId="7" borderId="1" xfId="0" applyFont="false" applyBorder="true" applyAlignment="true" applyProtection="false">
      <alignment horizontal="general" vertical="top" textRotation="0" wrapText="false" indent="0" shrinkToFit="false"/>
      <protection locked="true" hidden="false"/>
    </xf>
    <xf numFmtId="164" fontId="8" fillId="5" borderId="1" xfId="0" applyFont="true" applyBorder="true" applyAlignment="true" applyProtection="false">
      <alignment horizontal="general" vertical="top" textRotation="0" wrapText="false" indent="0" shrinkToFit="false"/>
      <protection locked="true" hidden="false"/>
    </xf>
    <xf numFmtId="164" fontId="5" fillId="7" borderId="1" xfId="0" applyFont="true" applyBorder="true" applyAlignment="true" applyProtection="false">
      <alignment horizontal="general" vertical="top" textRotation="0" wrapText="false" indent="0" shrinkToFit="false"/>
      <protection locked="true" hidden="false"/>
    </xf>
    <xf numFmtId="164" fontId="0" fillId="5" borderId="1" xfId="0" applyFont="true" applyBorder="true" applyAlignment="false" applyProtection="false">
      <alignment horizontal="general" vertical="bottom" textRotation="0" wrapText="false" indent="0" shrinkToFit="false"/>
      <protection locked="true" hidden="false"/>
    </xf>
    <xf numFmtId="164" fontId="18" fillId="7" borderId="1" xfId="0" applyFont="true" applyBorder="true" applyAlignment="false" applyProtection="false">
      <alignment horizontal="general" vertical="bottom" textRotation="0" wrapText="false" indent="0" shrinkToFit="false"/>
      <protection locked="true" hidden="false"/>
    </xf>
    <xf numFmtId="171" fontId="0" fillId="7" borderId="1"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3">
    <dxf>
      <font>
        <b val="1"/>
        <i val="0"/>
        <strike val="0"/>
        <color rgb="FFFF0000"/>
      </font>
    </dxf>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56082"/>
      <rgbColor rgb="FF8ED973"/>
      <rgbColor rgb="FF7F7F7F"/>
      <rgbColor rgb="FF9999FF"/>
      <rgbColor rgb="FF993366"/>
      <rgbColor rgb="FFE8E8E8"/>
      <rgbColor rgb="FFCCFFFF"/>
      <rgbColor rgb="FF660066"/>
      <rgbColor rgb="FFFF8080"/>
      <rgbColor rgb="FF0066CC"/>
      <rgbColor rgb="FFD9D9D9"/>
      <rgbColor rgb="FF000080"/>
      <rgbColor rgb="FFFF00FF"/>
      <rgbColor rgb="FFFFFF00"/>
      <rgbColor rgb="FF00FFFF"/>
      <rgbColor rgb="FF800080"/>
      <rgbColor rgb="FF800000"/>
      <rgbColor rgb="FF00B050"/>
      <rgbColor rgb="FF0000FF"/>
      <rgbColor rgb="FF00B0F0"/>
      <rgbColor rgb="FFCCFFFF"/>
      <rgbColor rgb="FFCCFFCC"/>
      <rgbColor rgb="FFFFFF99"/>
      <rgbColor rgb="FFA6CAEC"/>
      <rgbColor rgb="FFFF99CC"/>
      <rgbColor rgb="FFCC99FF"/>
      <rgbColor rgb="FFFFCC99"/>
      <rgbColor rgb="FF3366FF"/>
      <rgbColor rgb="FF33CCCC"/>
      <rgbColor rgb="FF92D050"/>
      <rgbColor rgb="FFFFC000"/>
      <rgbColor rgb="FFFF9900"/>
      <rgbColor rgb="FFFF6600"/>
      <rgbColor rgb="FF467886"/>
      <rgbColor rgb="FF8B8B8B"/>
      <rgbColor rgb="FF003366"/>
      <rgbColor rgb="FF4EA72E"/>
      <rgbColor rgb="FF003300"/>
      <rgbColor rgb="FF333300"/>
      <rgbColor rgb="FF993300"/>
      <rgbColor rgb="FF993366"/>
      <rgbColor rgb="FF333399"/>
      <rgbColor rgb="FF59595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ayout>
        <c:manualLayout>
          <c:layoutTarget val="inner"/>
          <c:xMode val="edge"/>
          <c:yMode val="edge"/>
          <c:x val="0.0601620947630923"/>
          <c:y val="0.636245110821382"/>
          <c:w val="0.859413965087282"/>
          <c:h val="0.0916992611907866"/>
        </c:manualLayout>
      </c:layout>
      <c:barChart>
        <c:barDir val="bar"/>
        <c:grouping val="clustered"/>
        <c:varyColors val="0"/>
        <c:ser>
          <c:idx val="0"/>
          <c:order val="0"/>
          <c:tx>
            <c:strRef>
              <c:f>'Consumption Data'!$P$2</c:f>
              <c:strCache>
                <c:ptCount val="1"/>
                <c:pt idx="0">
                  <c:v>Your specific energy consumption (kWh/m2a)</c:v>
                </c:pt>
              </c:strCache>
            </c:strRef>
          </c:tx>
          <c:spPr>
            <a:solidFill>
              <a:srgbClr val="156082"/>
            </a:solidFill>
            <a:ln w="0">
              <a:noFill/>
            </a:ln>
          </c:spPr>
          <c:invertIfNegative val="0"/>
          <c:dLbls>
            <c:txPr>
              <a:bodyPr wrap="square"/>
              <a:lstStyle/>
              <a:p>
                <a:pPr>
                  <a:defRPr b="0" sz="1000" spc="-1" strike="noStrike">
                    <a:solidFill>
                      <a:srgbClr val="000000"/>
                    </a:solidFill>
                    <a:latin typeface="Aptos Narrow"/>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val>
            <c:numRef>
              <c:f>'Consumption Data'!$T$2</c:f>
              <c:numCache>
                <c:formatCode>0</c:formatCode>
                <c:ptCount val="1"/>
                <c:pt idx="0">
                  <c:v>148.648648648649</c:v>
                </c:pt>
              </c:numCache>
            </c:numRef>
          </c:val>
        </c:ser>
        <c:gapWidth val="182"/>
        <c:overlap val="0"/>
        <c:axId val="90114974"/>
        <c:axId val="96062244"/>
      </c:barChart>
      <c:catAx>
        <c:axId val="90114974"/>
        <c:scaling>
          <c:orientation val="minMax"/>
        </c:scaling>
        <c:delete val="1"/>
        <c:axPos val="b"/>
        <c:numFmt formatCode="General" sourceLinked="1"/>
        <c:majorTickMark val="none"/>
        <c:minorTickMark val="none"/>
        <c:tickLblPos val="nextTo"/>
        <c:spPr>
          <a:ln w="12600">
            <a:solidFill>
              <a:srgbClr val="8b8b8b"/>
            </a:solidFill>
            <a:round/>
          </a:ln>
        </c:spPr>
        <c:txPr>
          <a:bodyPr/>
          <a:lstStyle/>
          <a:p>
            <a:pPr>
              <a:defRPr b="0" sz="1000" spc="-1" strike="noStrike">
                <a:solidFill>
                  <a:srgbClr val="000000"/>
                </a:solidFill>
                <a:latin typeface="Aptos Narrow"/>
              </a:defRPr>
            </a:pPr>
          </a:p>
        </c:txPr>
        <c:crossAx val="96062244"/>
        <c:auto val="1"/>
        <c:lblAlgn val="ctr"/>
        <c:lblOffset val="100"/>
        <c:noMultiLvlLbl val="0"/>
      </c:catAx>
      <c:valAx>
        <c:axId val="96062244"/>
        <c:scaling>
          <c:orientation val="minMax"/>
          <c:max val="250"/>
          <c:min val="0"/>
        </c:scaling>
        <c:delete val="0"/>
        <c:axPos val="l"/>
        <c:majorGridlines>
          <c:spPr>
            <a:ln w="9360">
              <a:solidFill>
                <a:srgbClr val="d9d9d9"/>
              </a:solidFill>
              <a:round/>
            </a:ln>
          </c:spPr>
        </c:majorGridlines>
        <c:numFmt formatCode="0" sourceLinked="0"/>
        <c:majorTickMark val="none"/>
        <c:minorTickMark val="none"/>
        <c:tickLblPos val="nextTo"/>
        <c:spPr>
          <a:ln w="12600">
            <a:noFill/>
          </a:ln>
        </c:spPr>
        <c:txPr>
          <a:bodyPr/>
          <a:lstStyle/>
          <a:p>
            <a:pPr>
              <a:defRPr b="0" sz="900" spc="-1" strike="noStrike">
                <a:solidFill>
                  <a:srgbClr val="595959"/>
                </a:solidFill>
                <a:latin typeface="Aptos Narrow"/>
              </a:defRPr>
            </a:pPr>
          </a:p>
        </c:txPr>
        <c:crossAx val="90114974"/>
        <c:crosses val="autoZero"/>
        <c:crossBetween val="between"/>
      </c:valAx>
      <c:spPr>
        <a:noFill/>
        <a:ln w="0">
          <a:noFill/>
        </a:ln>
      </c:spPr>
    </c:plotArea>
    <c:plotVisOnly val="1"/>
    <c:dispBlanksAs val="gap"/>
  </c:chart>
  <c:spPr>
    <a:solidFill>
      <a:srgbClr val="ffffff"/>
    </a:solidFill>
    <a:ln w="936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de-DE" sz="1400" spc="-1" strike="noStrike">
                <a:solidFill>
                  <a:srgbClr val="595959"/>
                </a:solidFill>
                <a:latin typeface="Aptos Narrow"/>
              </a:defRPr>
            </a:pPr>
            <a:r>
              <a:rPr b="0" lang="de-DE" sz="1400" spc="-1" strike="noStrike">
                <a:solidFill>
                  <a:srgbClr val="595959"/>
                </a:solidFill>
                <a:latin typeface="Aptos Narrow"/>
              </a:rPr>
              <a:t>COP vitocal_250A</a:t>
            </a:r>
          </a:p>
        </c:rich>
      </c:tx>
      <c:overlay val="0"/>
      <c:spPr>
        <a:noFill/>
        <a:ln w="0">
          <a:noFill/>
        </a:ln>
      </c:spPr>
    </c:title>
    <c:autoTitleDeleted val="0"/>
    <c:plotArea>
      <c:lineChart>
        <c:grouping val="standard"/>
        <c:varyColors val="0"/>
        <c:ser>
          <c:idx val="0"/>
          <c:order val="0"/>
          <c:tx>
            <c:strRef>
              <c:f>'HP Specifications'!$C$3</c:f>
              <c:strCache>
                <c:ptCount val="1"/>
                <c:pt idx="0">
                  <c:v>25</c:v>
                </c:pt>
              </c:strCache>
            </c:strRef>
          </c:tx>
          <c:spPr>
            <a:solidFill>
              <a:srgbClr val="00b0f0"/>
            </a:solidFill>
            <a:ln cap="rnd" w="28440">
              <a:solidFill>
                <a:srgbClr val="00b0f0"/>
              </a:solidFill>
              <a:round/>
            </a:ln>
          </c:spPr>
          <c:marker>
            <c:symbol val="none"/>
          </c:marker>
          <c:dLbls>
            <c:txPr>
              <a:bodyPr wrap="square"/>
              <a:lstStyle/>
              <a:p>
                <a:pPr>
                  <a:defRPr b="0" sz="1000" spc="-1" strike="noStrike">
                    <a:solidFill>
                      <a:srgbClr val="000000"/>
                    </a:solidFill>
                    <a:latin typeface="Aptos Narrow"/>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'HP Specifications'!$D$2:$M$2</c:f>
              <c:strCache>
                <c:ptCount val="10"/>
                <c:pt idx="0">
                  <c:v>-20</c:v>
                </c:pt>
                <c:pt idx="1">
                  <c:v>-15</c:v>
                </c:pt>
                <c:pt idx="2">
                  <c:v>-10</c:v>
                </c:pt>
                <c:pt idx="3">
                  <c:v>-7</c:v>
                </c:pt>
                <c:pt idx="4">
                  <c:v>2</c:v>
                </c:pt>
                <c:pt idx="5">
                  <c:v>7</c:v>
                </c:pt>
                <c:pt idx="6">
                  <c:v>10</c:v>
                </c:pt>
                <c:pt idx="7">
                  <c:v>20</c:v>
                </c:pt>
                <c:pt idx="8">
                  <c:v>30</c:v>
                </c:pt>
                <c:pt idx="9">
                  <c:v>35</c:v>
                </c:pt>
              </c:strCache>
            </c:strRef>
          </c:cat>
          <c:val>
            <c:numRef>
              <c:f>'HP Specifications'!$D$3:$M$3</c:f>
              <c:numCache>
                <c:formatCode>General</c:formatCode>
                <c:ptCount val="10"/>
                <c:pt idx="0">
                  <c:v>2.6</c:v>
                </c:pt>
                <c:pt idx="1">
                  <c:v>2.8</c:v>
                </c:pt>
                <c:pt idx="2">
                  <c:v>3.2</c:v>
                </c:pt>
                <c:pt idx="3">
                  <c:v>3.4</c:v>
                </c:pt>
                <c:pt idx="4">
                  <c:v>4.5</c:v>
                </c:pt>
                <c:pt idx="5">
                  <c:v>5.8</c:v>
                </c:pt>
                <c:pt idx="6">
                  <c:v>5.8</c:v>
                </c:pt>
                <c:pt idx="7">
                  <c:v>8.4</c:v>
                </c:pt>
                <c:pt idx="8">
                  <c:v>8.7</c:v>
                </c:pt>
                <c:pt idx="9">
                  <c:v>8.7</c:v>
                </c:pt>
              </c:numCache>
            </c:numRef>
          </c:val>
          <c:smooth val="0"/>
        </c:ser>
        <c:ser>
          <c:idx val="1"/>
          <c:order val="1"/>
          <c:tx>
            <c:strRef>
              <c:f>'HP Specifications'!$C$4</c:f>
              <c:strCache>
                <c:ptCount val="1"/>
                <c:pt idx="0">
                  <c:v>35</c:v>
                </c:pt>
              </c:strCache>
            </c:strRef>
          </c:tx>
          <c:spPr>
            <a:solidFill>
              <a:srgbClr val="00b050"/>
            </a:solidFill>
            <a:ln cap="rnd" w="28440">
              <a:solidFill>
                <a:srgbClr val="00b050"/>
              </a:solidFill>
              <a:round/>
            </a:ln>
          </c:spPr>
          <c:marker>
            <c:symbol val="none"/>
          </c:marker>
          <c:dLbls>
            <c:txPr>
              <a:bodyPr wrap="square"/>
              <a:lstStyle/>
              <a:p>
                <a:pPr>
                  <a:defRPr b="0" sz="1000" spc="-1" strike="noStrike">
                    <a:solidFill>
                      <a:srgbClr val="000000"/>
                    </a:solidFill>
                    <a:latin typeface="Aptos Narrow"/>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'HP Specifications'!$D$2:$M$2</c:f>
              <c:strCache>
                <c:ptCount val="10"/>
                <c:pt idx="0">
                  <c:v>-20</c:v>
                </c:pt>
                <c:pt idx="1">
                  <c:v>-15</c:v>
                </c:pt>
                <c:pt idx="2">
                  <c:v>-10</c:v>
                </c:pt>
                <c:pt idx="3">
                  <c:v>-7</c:v>
                </c:pt>
                <c:pt idx="4">
                  <c:v>2</c:v>
                </c:pt>
                <c:pt idx="5">
                  <c:v>7</c:v>
                </c:pt>
                <c:pt idx="6">
                  <c:v>10</c:v>
                </c:pt>
                <c:pt idx="7">
                  <c:v>20</c:v>
                </c:pt>
                <c:pt idx="8">
                  <c:v>30</c:v>
                </c:pt>
                <c:pt idx="9">
                  <c:v>35</c:v>
                </c:pt>
              </c:strCache>
            </c:strRef>
          </c:cat>
          <c:val>
            <c:numRef>
              <c:f>'HP Specifications'!$D$4:$M$4</c:f>
              <c:numCache>
                <c:formatCode>General</c:formatCode>
                <c:ptCount val="10"/>
                <c:pt idx="0">
                  <c:v>2.3</c:v>
                </c:pt>
                <c:pt idx="1">
                  <c:v>2.5</c:v>
                </c:pt>
                <c:pt idx="2">
                  <c:v>2.8</c:v>
                </c:pt>
                <c:pt idx="3">
                  <c:v>3</c:v>
                </c:pt>
                <c:pt idx="4">
                  <c:v>4</c:v>
                </c:pt>
                <c:pt idx="5">
                  <c:v>5.2</c:v>
                </c:pt>
                <c:pt idx="6">
                  <c:v>5.2</c:v>
                </c:pt>
                <c:pt idx="7">
                  <c:v>8.2</c:v>
                </c:pt>
                <c:pt idx="8">
                  <c:v>8.7</c:v>
                </c:pt>
                <c:pt idx="9">
                  <c:v>8.7</c:v>
                </c:pt>
              </c:numCache>
            </c:numRef>
          </c:val>
          <c:smooth val="0"/>
        </c:ser>
        <c:ser>
          <c:idx val="2"/>
          <c:order val="2"/>
          <c:tx>
            <c:strRef>
              <c:f>'HP Specifications'!$C$5</c:f>
              <c:strCache>
                <c:ptCount val="1"/>
                <c:pt idx="0">
                  <c:v>45</c:v>
                </c:pt>
              </c:strCache>
            </c:strRef>
          </c:tx>
          <c:spPr>
            <a:solidFill>
              <a:srgbClr val="92d050"/>
            </a:solidFill>
            <a:ln cap="rnd" w="28440">
              <a:solidFill>
                <a:srgbClr val="92d050"/>
              </a:solidFill>
              <a:round/>
            </a:ln>
          </c:spPr>
          <c:marker>
            <c:symbol val="none"/>
          </c:marker>
          <c:dLbls>
            <c:txPr>
              <a:bodyPr wrap="square"/>
              <a:lstStyle/>
              <a:p>
                <a:pPr>
                  <a:defRPr b="0" sz="1000" spc="-1" strike="noStrike">
                    <a:solidFill>
                      <a:srgbClr val="000000"/>
                    </a:solidFill>
                    <a:latin typeface="Aptos Narrow"/>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'HP Specifications'!$D$2:$M$2</c:f>
              <c:strCache>
                <c:ptCount val="10"/>
                <c:pt idx="0">
                  <c:v>-20</c:v>
                </c:pt>
                <c:pt idx="1">
                  <c:v>-15</c:v>
                </c:pt>
                <c:pt idx="2">
                  <c:v>-10</c:v>
                </c:pt>
                <c:pt idx="3">
                  <c:v>-7</c:v>
                </c:pt>
                <c:pt idx="4">
                  <c:v>2</c:v>
                </c:pt>
                <c:pt idx="5">
                  <c:v>7</c:v>
                </c:pt>
                <c:pt idx="6">
                  <c:v>10</c:v>
                </c:pt>
                <c:pt idx="7">
                  <c:v>20</c:v>
                </c:pt>
                <c:pt idx="8">
                  <c:v>30</c:v>
                </c:pt>
                <c:pt idx="9">
                  <c:v>35</c:v>
                </c:pt>
              </c:strCache>
            </c:strRef>
          </c:cat>
          <c:val>
            <c:numRef>
              <c:f>'HP Specifications'!$D$5:$M$5</c:f>
              <c:numCache>
                <c:formatCode>General</c:formatCode>
                <c:ptCount val="10"/>
                <c:pt idx="0">
                  <c:v>2</c:v>
                </c:pt>
                <c:pt idx="1">
                  <c:v>2.2</c:v>
                </c:pt>
                <c:pt idx="2">
                  <c:v>2.4</c:v>
                </c:pt>
                <c:pt idx="3">
                  <c:v>2.6</c:v>
                </c:pt>
                <c:pt idx="4">
                  <c:v>3.3</c:v>
                </c:pt>
                <c:pt idx="5">
                  <c:v>4.1</c:v>
                </c:pt>
                <c:pt idx="6">
                  <c:v>4.8</c:v>
                </c:pt>
                <c:pt idx="7">
                  <c:v>5.4</c:v>
                </c:pt>
                <c:pt idx="8">
                  <c:v>8.5</c:v>
                </c:pt>
                <c:pt idx="9">
                  <c:v>8.5</c:v>
                </c:pt>
              </c:numCache>
            </c:numRef>
          </c:val>
          <c:smooth val="0"/>
        </c:ser>
        <c:ser>
          <c:idx val="3"/>
          <c:order val="3"/>
          <c:tx>
            <c:strRef>
              <c:f>'HP Specifications'!$C$6</c:f>
              <c:strCache>
                <c:ptCount val="1"/>
                <c:pt idx="0">
                  <c:v>55</c:v>
                </c:pt>
              </c:strCache>
            </c:strRef>
          </c:tx>
          <c:spPr>
            <a:solidFill>
              <a:srgbClr val="ffff00"/>
            </a:solidFill>
            <a:ln cap="rnd" w="28440">
              <a:solidFill>
                <a:srgbClr val="ffff00"/>
              </a:solidFill>
              <a:round/>
            </a:ln>
          </c:spPr>
          <c:marker>
            <c:symbol val="none"/>
          </c:marker>
          <c:dLbls>
            <c:txPr>
              <a:bodyPr wrap="square"/>
              <a:lstStyle/>
              <a:p>
                <a:pPr>
                  <a:defRPr b="0" sz="1000" spc="-1" strike="noStrike">
                    <a:solidFill>
                      <a:srgbClr val="000000"/>
                    </a:solidFill>
                    <a:latin typeface="Aptos Narrow"/>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'HP Specifications'!$D$2:$M$2</c:f>
              <c:strCache>
                <c:ptCount val="10"/>
                <c:pt idx="0">
                  <c:v>-20</c:v>
                </c:pt>
                <c:pt idx="1">
                  <c:v>-15</c:v>
                </c:pt>
                <c:pt idx="2">
                  <c:v>-10</c:v>
                </c:pt>
                <c:pt idx="3">
                  <c:v>-7</c:v>
                </c:pt>
                <c:pt idx="4">
                  <c:v>2</c:v>
                </c:pt>
                <c:pt idx="5">
                  <c:v>7</c:v>
                </c:pt>
                <c:pt idx="6">
                  <c:v>10</c:v>
                </c:pt>
                <c:pt idx="7">
                  <c:v>20</c:v>
                </c:pt>
                <c:pt idx="8">
                  <c:v>30</c:v>
                </c:pt>
                <c:pt idx="9">
                  <c:v>35</c:v>
                </c:pt>
              </c:strCache>
            </c:strRef>
          </c:cat>
          <c:val>
            <c:numRef>
              <c:f>'HP Specifications'!$D$6:$M$6</c:f>
              <c:numCache>
                <c:formatCode>General</c:formatCode>
                <c:ptCount val="10"/>
                <c:pt idx="0">
                  <c:v>1.8</c:v>
                </c:pt>
                <c:pt idx="1">
                  <c:v>2</c:v>
                </c:pt>
                <c:pt idx="2">
                  <c:v>2.2</c:v>
                </c:pt>
                <c:pt idx="3">
                  <c:v>2.3</c:v>
                </c:pt>
                <c:pt idx="4">
                  <c:v>2.8</c:v>
                </c:pt>
                <c:pt idx="5">
                  <c:v>3.4</c:v>
                </c:pt>
                <c:pt idx="6">
                  <c:v>3.7</c:v>
                </c:pt>
                <c:pt idx="7">
                  <c:v>4.8</c:v>
                </c:pt>
                <c:pt idx="8">
                  <c:v>6.4</c:v>
                </c:pt>
                <c:pt idx="9">
                  <c:v>6.4</c:v>
                </c:pt>
              </c:numCache>
            </c:numRef>
          </c:val>
          <c:smooth val="0"/>
        </c:ser>
        <c:ser>
          <c:idx val="4"/>
          <c:order val="4"/>
          <c:tx>
            <c:strRef>
              <c:f>'HP Specifications'!$C$7</c:f>
              <c:strCache>
                <c:ptCount val="1"/>
                <c:pt idx="0">
                  <c:v>65</c:v>
                </c:pt>
              </c:strCache>
            </c:strRef>
          </c:tx>
          <c:spPr>
            <a:solidFill>
              <a:srgbClr val="ffc000"/>
            </a:solidFill>
            <a:ln cap="rnd" w="28440">
              <a:solidFill>
                <a:srgbClr val="ffc000"/>
              </a:solidFill>
              <a:round/>
            </a:ln>
          </c:spPr>
          <c:marker>
            <c:symbol val="none"/>
          </c:marker>
          <c:dLbls>
            <c:txPr>
              <a:bodyPr wrap="square"/>
              <a:lstStyle/>
              <a:p>
                <a:pPr>
                  <a:defRPr b="0" sz="1000" spc="-1" strike="noStrike">
                    <a:solidFill>
                      <a:srgbClr val="000000"/>
                    </a:solidFill>
                    <a:latin typeface="Aptos Narrow"/>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'HP Specifications'!$D$2:$M$2</c:f>
              <c:strCache>
                <c:ptCount val="10"/>
                <c:pt idx="0">
                  <c:v>-20</c:v>
                </c:pt>
                <c:pt idx="1">
                  <c:v>-15</c:v>
                </c:pt>
                <c:pt idx="2">
                  <c:v>-10</c:v>
                </c:pt>
                <c:pt idx="3">
                  <c:v>-7</c:v>
                </c:pt>
                <c:pt idx="4">
                  <c:v>2</c:v>
                </c:pt>
                <c:pt idx="5">
                  <c:v>7</c:v>
                </c:pt>
                <c:pt idx="6">
                  <c:v>10</c:v>
                </c:pt>
                <c:pt idx="7">
                  <c:v>20</c:v>
                </c:pt>
                <c:pt idx="8">
                  <c:v>30</c:v>
                </c:pt>
                <c:pt idx="9">
                  <c:v>35</c:v>
                </c:pt>
              </c:strCache>
            </c:strRef>
          </c:cat>
          <c:val>
            <c:numRef>
              <c:f>'HP Specifications'!$D$7:$M$7</c:f>
              <c:numCache>
                <c:formatCode>General</c:formatCode>
                <c:ptCount val="10"/>
                <c:pt idx="0">
                  <c:v>1.6</c:v>
                </c:pt>
                <c:pt idx="1">
                  <c:v>1.8</c:v>
                </c:pt>
                <c:pt idx="2">
                  <c:v>2</c:v>
                </c:pt>
                <c:pt idx="3">
                  <c:v>2.1</c:v>
                </c:pt>
                <c:pt idx="4">
                  <c:v>2.5</c:v>
                </c:pt>
                <c:pt idx="5">
                  <c:v>2.8</c:v>
                </c:pt>
                <c:pt idx="6">
                  <c:v>3</c:v>
                </c:pt>
                <c:pt idx="7">
                  <c:v>3.7</c:v>
                </c:pt>
                <c:pt idx="8">
                  <c:v>4.7</c:v>
                </c:pt>
                <c:pt idx="9">
                  <c:v>4.7</c:v>
                </c:pt>
              </c:numCache>
            </c:numRef>
          </c:val>
          <c:smooth val="0"/>
        </c:ser>
        <c:ser>
          <c:idx val="5"/>
          <c:order val="5"/>
          <c:tx>
            <c:strRef>
              <c:f>'HP Specifications'!$C$8</c:f>
              <c:strCache>
                <c:ptCount val="1"/>
                <c:pt idx="0">
                  <c:v>70</c:v>
                </c:pt>
              </c:strCache>
            </c:strRef>
          </c:tx>
          <c:spPr>
            <a:solidFill>
              <a:srgbClr val="ff0000"/>
            </a:solidFill>
            <a:ln cap="rnd" w="28440">
              <a:solidFill>
                <a:srgbClr val="ff0000"/>
              </a:solidFill>
              <a:round/>
            </a:ln>
          </c:spPr>
          <c:marker>
            <c:symbol val="none"/>
          </c:marker>
          <c:dLbls>
            <c:txPr>
              <a:bodyPr wrap="square"/>
              <a:lstStyle/>
              <a:p>
                <a:pPr>
                  <a:defRPr b="0" sz="1000" spc="-1" strike="noStrike">
                    <a:solidFill>
                      <a:srgbClr val="000000"/>
                    </a:solidFill>
                    <a:latin typeface="Aptos Narrow"/>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'HP Specifications'!$D$2:$M$2</c:f>
              <c:strCache>
                <c:ptCount val="10"/>
                <c:pt idx="0">
                  <c:v>-20</c:v>
                </c:pt>
                <c:pt idx="1">
                  <c:v>-15</c:v>
                </c:pt>
                <c:pt idx="2">
                  <c:v>-10</c:v>
                </c:pt>
                <c:pt idx="3">
                  <c:v>-7</c:v>
                </c:pt>
                <c:pt idx="4">
                  <c:v>2</c:v>
                </c:pt>
                <c:pt idx="5">
                  <c:v>7</c:v>
                </c:pt>
                <c:pt idx="6">
                  <c:v>10</c:v>
                </c:pt>
                <c:pt idx="7">
                  <c:v>20</c:v>
                </c:pt>
                <c:pt idx="8">
                  <c:v>30</c:v>
                </c:pt>
                <c:pt idx="9">
                  <c:v>35</c:v>
                </c:pt>
              </c:strCache>
            </c:strRef>
          </c:cat>
          <c:val>
            <c:numRef>
              <c:f>'HP Specifications'!$D$8:$M$8</c:f>
              <c:numCache>
                <c:formatCode>General</c:formatCode>
                <c:ptCount val="10"/>
                <c:pt idx="0">
                  <c:v>0</c:v>
                </c:pt>
                <c:pt idx="1">
                  <c:v>0</c:v>
                </c:pt>
                <c:pt idx="2">
                  <c:v>1.8</c:v>
                </c:pt>
                <c:pt idx="3">
                  <c:v>1.9</c:v>
                </c:pt>
                <c:pt idx="4">
                  <c:v>2.3</c:v>
                </c:pt>
                <c:pt idx="5">
                  <c:v>2.6</c:v>
                </c:pt>
                <c:pt idx="6">
                  <c:v>2.7</c:v>
                </c:pt>
                <c:pt idx="7">
                  <c:v>3.3</c:v>
                </c:pt>
                <c:pt idx="8">
                  <c:v>4.1</c:v>
                </c:pt>
                <c:pt idx="9">
                  <c:v>4.1</c:v>
                </c:pt>
              </c:numCache>
            </c:numRef>
          </c:val>
          <c:smooth val="0"/>
        </c:ser>
        <c:hiLowLines>
          <c:spPr>
            <a:ln w="0">
              <a:noFill/>
            </a:ln>
          </c:spPr>
        </c:hiLowLines>
        <c:marker val="0"/>
        <c:axId val="26188938"/>
        <c:axId val="99171106"/>
      </c:lineChart>
      <c:catAx>
        <c:axId val="26188938"/>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0" sz="900" spc="-1" strike="noStrike">
                <a:solidFill>
                  <a:srgbClr val="595959"/>
                </a:solidFill>
                <a:latin typeface="Aptos Narrow"/>
              </a:defRPr>
            </a:pPr>
          </a:p>
        </c:txPr>
        <c:crossAx val="99171106"/>
        <c:crosses val="autoZero"/>
        <c:auto val="1"/>
        <c:lblAlgn val="ctr"/>
        <c:lblOffset val="100"/>
        <c:noMultiLvlLbl val="0"/>
      </c:catAx>
      <c:valAx>
        <c:axId val="99171106"/>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12600">
            <a:noFill/>
          </a:ln>
        </c:spPr>
        <c:txPr>
          <a:bodyPr/>
          <a:lstStyle/>
          <a:p>
            <a:pPr>
              <a:defRPr b="0" sz="900" spc="-1" strike="noStrike">
                <a:solidFill>
                  <a:srgbClr val="595959"/>
                </a:solidFill>
                <a:latin typeface="Aptos Narrow"/>
              </a:defRPr>
            </a:pPr>
          </a:p>
        </c:txPr>
        <c:crossAx val="26188938"/>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Aptos Narrow"/>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de-DE" sz="1400" spc="-1" strike="noStrike">
                <a:solidFill>
                  <a:srgbClr val="595959"/>
                </a:solidFill>
                <a:latin typeface="Aptos Narrow"/>
              </a:defRPr>
            </a:pPr>
            <a:r>
              <a:rPr b="0" lang="de-DE" sz="1400" spc="-1" strike="noStrike">
                <a:solidFill>
                  <a:srgbClr val="595959"/>
                </a:solidFill>
                <a:latin typeface="Aptos Narrow"/>
              </a:rPr>
              <a:t>COP bosch_ClimateClass8000i</a:t>
            </a:r>
          </a:p>
        </c:rich>
      </c:tx>
      <c:overlay val="0"/>
      <c:spPr>
        <a:noFill/>
        <a:ln w="0">
          <a:noFill/>
        </a:ln>
      </c:spPr>
    </c:title>
    <c:autoTitleDeleted val="0"/>
    <c:plotArea>
      <c:lineChart>
        <c:grouping val="standard"/>
        <c:varyColors val="0"/>
        <c:ser>
          <c:idx val="0"/>
          <c:order val="0"/>
          <c:tx>
            <c:strRef>
              <c:f>'HP Specifications'!$C$15</c:f>
              <c:strCache>
                <c:ptCount val="1"/>
                <c:pt idx="0">
                  <c:v>20</c:v>
                </c:pt>
              </c:strCache>
            </c:strRef>
          </c:tx>
          <c:spPr>
            <a:solidFill>
              <a:srgbClr val="156082"/>
            </a:solidFill>
            <a:ln cap="rnd" w="28440">
              <a:solidFill>
                <a:srgbClr val="156082"/>
              </a:solidFill>
              <a:round/>
            </a:ln>
          </c:spPr>
          <c:marker>
            <c:symbol val="none"/>
          </c:marker>
          <c:dLbls>
            <c:txPr>
              <a:bodyPr wrap="square"/>
              <a:lstStyle/>
              <a:p>
                <a:pPr>
                  <a:defRPr b="0" sz="1000" spc="-1" strike="noStrike">
                    <a:solidFill>
                      <a:srgbClr val="000000"/>
                    </a:solidFill>
                    <a:latin typeface="Aptos Narrow"/>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'HP Specifications'!$D$2:$K$2</c:f>
              <c:strCache>
                <c:ptCount val="8"/>
                <c:pt idx="0">
                  <c:v>-20</c:v>
                </c:pt>
                <c:pt idx="1">
                  <c:v>-15</c:v>
                </c:pt>
                <c:pt idx="2">
                  <c:v>-10</c:v>
                </c:pt>
                <c:pt idx="3">
                  <c:v>-7</c:v>
                </c:pt>
                <c:pt idx="4">
                  <c:v>2</c:v>
                </c:pt>
                <c:pt idx="5">
                  <c:v>7</c:v>
                </c:pt>
                <c:pt idx="6">
                  <c:v>10</c:v>
                </c:pt>
                <c:pt idx="7">
                  <c:v>20</c:v>
                </c:pt>
              </c:strCache>
            </c:strRef>
          </c:cat>
          <c:val>
            <c:numRef>
              <c:f>'HP Specifications'!$D$15:$K$15</c:f>
              <c:numCache>
                <c:formatCode>General</c:formatCode>
                <c:ptCount val="8"/>
                <c:pt idx="0">
                  <c:v>0</c:v>
                </c:pt>
                <c:pt idx="1">
                  <c:v>2.8</c:v>
                </c:pt>
                <c:pt idx="2">
                  <c:v>3</c:v>
                </c:pt>
                <c:pt idx="3">
                  <c:v>3.5</c:v>
                </c:pt>
                <c:pt idx="4">
                  <c:v>5.1</c:v>
                </c:pt>
                <c:pt idx="5">
                  <c:v>6.2</c:v>
                </c:pt>
                <c:pt idx="6">
                  <c:v>6.61538461538462</c:v>
                </c:pt>
                <c:pt idx="7">
                  <c:v>8</c:v>
                </c:pt>
              </c:numCache>
            </c:numRef>
          </c:val>
          <c:smooth val="0"/>
        </c:ser>
        <c:hiLowLines>
          <c:spPr>
            <a:ln w="0">
              <a:noFill/>
            </a:ln>
          </c:spPr>
        </c:hiLowLines>
        <c:marker val="0"/>
        <c:axId val="11755662"/>
        <c:axId val="72749063"/>
      </c:lineChart>
      <c:catAx>
        <c:axId val="11755662"/>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0" sz="900" spc="-1" strike="noStrike">
                <a:solidFill>
                  <a:srgbClr val="595959"/>
                </a:solidFill>
                <a:latin typeface="Aptos Narrow"/>
              </a:defRPr>
            </a:pPr>
          </a:p>
        </c:txPr>
        <c:crossAx val="72749063"/>
        <c:crosses val="autoZero"/>
        <c:auto val="1"/>
        <c:lblAlgn val="ctr"/>
        <c:lblOffset val="100"/>
        <c:noMultiLvlLbl val="0"/>
      </c:catAx>
      <c:valAx>
        <c:axId val="72749063"/>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12600">
            <a:noFill/>
          </a:ln>
        </c:spPr>
        <c:txPr>
          <a:bodyPr/>
          <a:lstStyle/>
          <a:p>
            <a:pPr>
              <a:defRPr b="0" sz="900" spc="-1" strike="noStrike">
                <a:solidFill>
                  <a:srgbClr val="595959"/>
                </a:solidFill>
                <a:latin typeface="Aptos Narrow"/>
              </a:defRPr>
            </a:pPr>
          </a:p>
        </c:txPr>
        <c:crossAx val="11755662"/>
        <c:crosses val="autoZero"/>
        <c:crossBetween val="between"/>
      </c:valAx>
      <c:spPr>
        <a:noFill/>
        <a:ln w="0">
          <a:noFill/>
        </a:ln>
      </c:spPr>
    </c:plotArea>
    <c:legend>
      <c:legendPos val="r"/>
      <c:overlay val="0"/>
      <c:spPr>
        <a:noFill/>
        <a:ln w="0">
          <a:noFill/>
        </a:ln>
      </c:spPr>
      <c:txPr>
        <a:bodyPr/>
        <a:lstStyle/>
        <a:p>
          <a:pPr>
            <a:defRPr b="0" sz="900" spc="-1" strike="noStrike">
              <a:solidFill>
                <a:srgbClr val="595959"/>
              </a:solidFill>
              <a:latin typeface="Aptos Narrow"/>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image" Target="../media/image1.jpeg"/><Relationship Id="rId2"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15</xdr:col>
      <xdr:colOff>28440</xdr:colOff>
      <xdr:row>7</xdr:row>
      <xdr:rowOff>88200</xdr:rowOff>
    </xdr:from>
    <xdr:to>
      <xdr:col>19</xdr:col>
      <xdr:colOff>723600</xdr:colOff>
      <xdr:row>17</xdr:row>
      <xdr:rowOff>56520</xdr:rowOff>
    </xdr:to>
    <xdr:pic>
      <xdr:nvPicPr>
        <xdr:cNvPr id="0" name="Grafik 1" descr="Ein Bild, das Text, Screenshot, Schrift, Zahl enthält.&#10;&#10;Automatisch generierte Beschreibung"/>
        <xdr:cNvPicPr/>
      </xdr:nvPicPr>
      <xdr:blipFill>
        <a:blip r:embed="rId1"/>
        <a:srcRect l="11923" t="18164" r="5841" b="8735"/>
        <a:stretch/>
      </xdr:blipFill>
      <xdr:spPr>
        <a:xfrm>
          <a:off x="17114400" y="1457280"/>
          <a:ext cx="4086000" cy="2033280"/>
        </a:xfrm>
        <a:prstGeom prst="rect">
          <a:avLst/>
        </a:prstGeom>
        <a:ln w="0">
          <a:noFill/>
        </a:ln>
      </xdr:spPr>
    </xdr:pic>
    <xdr:clientData/>
  </xdr:twoCellAnchor>
  <xdr:twoCellAnchor editAs="oneCell">
    <xdr:from>
      <xdr:col>15</xdr:col>
      <xdr:colOff>9360</xdr:colOff>
      <xdr:row>2</xdr:row>
      <xdr:rowOff>182160</xdr:rowOff>
    </xdr:from>
    <xdr:to>
      <xdr:col>20</xdr:col>
      <xdr:colOff>389880</xdr:colOff>
      <xdr:row>7</xdr:row>
      <xdr:rowOff>39960</xdr:rowOff>
    </xdr:to>
    <xdr:graphicFrame>
      <xdr:nvGraphicFramePr>
        <xdr:cNvPr id="1" name="Diagramm 2"/>
        <xdr:cNvGraphicFramePr/>
      </xdr:nvGraphicFramePr>
      <xdr:xfrm>
        <a:off x="17095320" y="581040"/>
        <a:ext cx="4619160" cy="8280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200160</xdr:colOff>
      <xdr:row>1</xdr:row>
      <xdr:rowOff>4680</xdr:rowOff>
    </xdr:from>
    <xdr:to>
      <xdr:col>19</xdr:col>
      <xdr:colOff>199800</xdr:colOff>
      <xdr:row>16</xdr:row>
      <xdr:rowOff>9000</xdr:rowOff>
    </xdr:to>
    <xdr:graphicFrame>
      <xdr:nvGraphicFramePr>
        <xdr:cNvPr id="2" name="Diagramm 5"/>
        <xdr:cNvGraphicFramePr/>
      </xdr:nvGraphicFramePr>
      <xdr:xfrm>
        <a:off x="12521880" y="195120"/>
        <a:ext cx="5085720" cy="28620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204840</xdr:colOff>
      <xdr:row>16</xdr:row>
      <xdr:rowOff>71280</xdr:rowOff>
    </xdr:from>
    <xdr:to>
      <xdr:col>19</xdr:col>
      <xdr:colOff>204480</xdr:colOff>
      <xdr:row>30</xdr:row>
      <xdr:rowOff>147240</xdr:rowOff>
    </xdr:to>
    <xdr:graphicFrame>
      <xdr:nvGraphicFramePr>
        <xdr:cNvPr id="3" name="Diagramm 6"/>
        <xdr:cNvGraphicFramePr/>
      </xdr:nvGraphicFramePr>
      <xdr:xfrm>
        <a:off x="12526560" y="3119400"/>
        <a:ext cx="5085720" cy="27428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id="1" name="Tabelle2" displayName="Tabelle2" ref="C1:C6" headerRowCount="1" totalsRowCount="0" totalsRowShown="0">
  <autoFilter ref="C1:C6"/>
  <tableColumns count="1">
    <tableColumn id="1" name="st_collector_types"/>
  </tableColumns>
</table>
</file>

<file path=xl/tables/table2.xml><?xml version="1.0" encoding="utf-8"?>
<table xmlns="http://schemas.openxmlformats.org/spreadsheetml/2006/main" id="2" name="Tabelle3" displayName="Tabelle3" ref="A1:A3" headerRowCount="1" totalsRowCount="0" totalsRowShown="0">
  <autoFilter ref="A1:A3"/>
  <tableColumns count="1">
    <tableColumn id="1" name="building_type"/>
  </tableColumns>
</table>
</file>

<file path=xl/tables/table3.xml><?xml version="1.0" encoding="utf-8"?>
<table xmlns="http://schemas.openxmlformats.org/spreadsheetml/2006/main" id="3" name="Tabelle4" displayName="Tabelle4" ref="B1:B9" headerRowCount="1" totalsRowCount="0" totalsRowShown="0">
  <autoFilter ref="B1:B9"/>
  <tableColumns count="1">
    <tableColumn id="1" name="building_area_components"/>
  </tableColumns>
</table>
</file>

<file path=xl/tables/table4.xml><?xml version="1.0" encoding="utf-8"?>
<table xmlns="http://schemas.openxmlformats.org/spreadsheetml/2006/main" id="4" name="Tabelle5" displayName="Tabelle5" ref="D1:D2" headerRowCount="1" totalsRowCount="0" totalsRowShown="0">
  <autoFilter ref="D1:D2"/>
  <tableColumns count="1">
    <tableColumn id="1" name="hp_types_air_water"/>
  </tableColumns>
</table>
</file>

<file path=xl/tables/table5.xml><?xml version="1.0" encoding="utf-8"?>
<table xmlns="http://schemas.openxmlformats.org/spreadsheetml/2006/main" id="5" name="Tabelle6" displayName="Tabelle6" ref="E1:G4" headerRowCount="1" totalsRowCount="0" totalsRowShown="0">
  <autoFilter ref="E1:G4"/>
  <tableColumns count="3">
    <tableColumn id="1" name="ac_types"/>
    <tableColumn id="2" name="charging_type"/>
    <tableColumn id="3" name="dhw_l_per_person"/>
  </tableColumns>
</table>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www.waermepumpe.de/werkzeuge/klimakarte/" TargetMode="Externa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hyperlink" Target="https://joint-research-centre.ec.europa.eu/photovoltaic-geographical-information-system-pvgis/getting-started-pvgis/pvgis-user-manual_en" TargetMode="External"/><Relationship Id="rId2" Type="http://schemas.openxmlformats.org/officeDocument/2006/relationships/hyperlink" Target="https://joint-research-centre.ec.europa.eu/photovoltaic-geographical-information-system-pvgis/getting-started-pvgis/pvgis-user-manual_en" TargetMode="External"/><Relationship Id="rId3" Type="http://schemas.openxmlformats.org/officeDocument/2006/relationships/hyperlink" Target="https://joint-research-centre.ec.europa.eu/photovoltaic-geographical-information-system-pvgis/getting-started-pvgis/pvgis-user-manual_en" TargetMode="External"/><Relationship Id="rId4" Type="http://schemas.openxmlformats.org/officeDocument/2006/relationships/hyperlink" Target="https://joint-research-centre.ec.europa.eu/photovoltaic-geographical-information-system-pvgis/getting-started-pvgis/pvgis-user-manual_en" TargetMode="External"/><Relationship Id="rId5" Type="http://schemas.openxmlformats.org/officeDocument/2006/relationships/hyperlink" Target="https://joint-research-centre.ec.europa.eu/photovoltaic-geographical-information-system-pvgis/getting-started-pvgis/pvgis-user-manual_en" TargetMode="External"/><Relationship Id="rId6" Type="http://schemas.openxmlformats.org/officeDocument/2006/relationships/hyperlink" Target="https://joint-research-centre.ec.europa.eu/photovoltaic-geographical-information-system-pvgis/getting-started-pvgis/pvgis-user-manual_en" TargetMode="External"/><Relationship Id="rId7" Type="http://schemas.openxmlformats.org/officeDocument/2006/relationships/hyperlink" Target="https://joint-research-centre.ec.europa.eu/photovoltaic-geographical-information-system-pvgis/getting-started-pvgis/pvgis-user-manual_en" TargetMode="External"/><Relationship Id="rId8" Type="http://schemas.openxmlformats.org/officeDocument/2006/relationships/hyperlink" Target="https://joint-research-centre.ec.europa.eu/photovoltaic-geographical-information-system-pvgis/getting-started-pvgis/pvgis-user-manual_en" TargetMode="External"/>
</Relationships>
</file>

<file path=xl/worksheets/_rels/sheet8.xml.rels><?xml version="1.0" encoding="UTF-8"?>
<Relationships xmlns="http://schemas.openxmlformats.org/package/2006/relationships"><Relationship Id="rId1" Type="http://schemas.openxmlformats.org/officeDocument/2006/relationships/drawing" Target="../drawings/drawing2.xml"/>
</Relationships>
</file>

<file path=xl/worksheets/_rels/sheet9.xml.rels><?xml version="1.0" encoding="UTF-8"?>
<Relationships xmlns="http://schemas.openxmlformats.org/package/2006/relationships"><Relationship Id="rId1" Type="http://schemas.openxmlformats.org/officeDocument/2006/relationships/table" Target="../tables/table1.xml"/><Relationship Id="rId2" Type="http://schemas.openxmlformats.org/officeDocument/2006/relationships/table" Target="../tables/table2.xml"/><Relationship Id="rId3" Type="http://schemas.openxmlformats.org/officeDocument/2006/relationships/table" Target="../tables/table3.xml"/><Relationship Id="rId4" Type="http://schemas.openxmlformats.org/officeDocument/2006/relationships/table" Target="../tables/table4.xml"/><Relationship Id="rId5" Type="http://schemas.openxmlformats.org/officeDocument/2006/relationships/table" Target="../tables/table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EA72E"/>
    <pageSetUpPr fitToPage="false"/>
  </sheetPr>
  <dimension ref="A1:B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14" activeCellId="0" sqref="G14"/>
    </sheetView>
  </sheetViews>
  <sheetFormatPr defaultColWidth="10.59765625" defaultRowHeight="15" zeroHeight="false" outlineLevelRow="0" outlineLevelCol="0"/>
  <cols>
    <col collapsed="false" customWidth="true" hidden="false" outlineLevel="0" max="1" min="1" style="0" width="109.14"/>
  </cols>
  <sheetData>
    <row r="1" customFormat="false" ht="76.1" hidden="false" customHeight="false" outlineLevel="0" collapsed="false">
      <c r="A1" s="1" t="s">
        <v>0</v>
      </c>
    </row>
    <row r="3" customFormat="false" ht="15" hidden="false" customHeight="false" outlineLevel="0" collapsed="false">
      <c r="A3" s="2" t="s">
        <v>1</v>
      </c>
    </row>
    <row r="4" customFormat="false" ht="15" hidden="false" customHeight="false" outlineLevel="0" collapsed="false">
      <c r="A4" s="3" t="s">
        <v>2</v>
      </c>
    </row>
    <row r="5" customFormat="false" ht="15" hidden="false" customHeight="false" outlineLevel="0" collapsed="false">
      <c r="A5" s="4" t="s">
        <v>3</v>
      </c>
    </row>
    <row r="6" customFormat="false" ht="15" hidden="false" customHeight="false" outlineLevel="0" collapsed="false">
      <c r="A6" s="5" t="s">
        <v>4</v>
      </c>
    </row>
    <row r="9" customFormat="false" ht="15" hidden="false" customHeight="false" outlineLevel="0" collapsed="false">
      <c r="A9" s="6" t="s">
        <v>5</v>
      </c>
      <c r="B9" s="6" t="s">
        <v>6</v>
      </c>
    </row>
    <row r="10" customFormat="false" ht="15" hidden="false" customHeight="false" outlineLevel="0" collapsed="false">
      <c r="A10" s="2" t="s">
        <v>7</v>
      </c>
      <c r="B10" s="7" t="s">
        <v>8</v>
      </c>
    </row>
    <row r="11" customFormat="false" ht="15" hidden="false" customHeight="false" outlineLevel="0" collapsed="false">
      <c r="A11" s="2" t="s">
        <v>9</v>
      </c>
      <c r="B11" s="7" t="s">
        <v>10</v>
      </c>
    </row>
    <row r="12" customFormat="false" ht="15" hidden="false" customHeight="false" outlineLevel="0" collapsed="false">
      <c r="A12" s="2" t="s">
        <v>11</v>
      </c>
      <c r="B12" s="7" t="s">
        <v>12</v>
      </c>
    </row>
    <row r="13" customFormat="false" ht="15" hidden="false" customHeight="false" outlineLevel="0" collapsed="false">
      <c r="A13" s="2" t="s">
        <v>13</v>
      </c>
      <c r="B13" s="7" t="s">
        <v>14</v>
      </c>
    </row>
    <row r="14" customFormat="false" ht="15" hidden="false" customHeight="false" outlineLevel="0" collapsed="false">
      <c r="A14" s="2" t="s">
        <v>15</v>
      </c>
      <c r="B14" s="7" t="s">
        <v>16</v>
      </c>
    </row>
    <row r="15" customFormat="false" ht="15" hidden="false" customHeight="false" outlineLevel="0" collapsed="false">
      <c r="A15" s="3" t="s">
        <v>17</v>
      </c>
      <c r="B15" s="7" t="s">
        <v>18</v>
      </c>
    </row>
    <row r="16" customFormat="false" ht="15" hidden="false" customHeight="false" outlineLevel="0" collapsed="false">
      <c r="A16" s="3" t="s">
        <v>19</v>
      </c>
      <c r="B16" s="7" t="s">
        <v>20</v>
      </c>
    </row>
    <row r="17" customFormat="false" ht="15" hidden="false" customHeight="false" outlineLevel="0" collapsed="false">
      <c r="A17" s="8" t="s">
        <v>21</v>
      </c>
      <c r="B17" s="7" t="s">
        <v>22</v>
      </c>
    </row>
  </sheetData>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EA72E"/>
    <pageSetUpPr fitToPage="false"/>
  </sheetPr>
  <dimension ref="A1:O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3" activeCellId="0" sqref="G3"/>
    </sheetView>
  </sheetViews>
  <sheetFormatPr defaultColWidth="10.59765625" defaultRowHeight="15" zeroHeight="false" outlineLevelRow="0" outlineLevelCol="0"/>
  <sheetData>
    <row r="1" customFormat="false" ht="15" hidden="false" customHeight="false" outlineLevel="0" collapsed="false">
      <c r="A1" s="6" t="s">
        <v>23</v>
      </c>
      <c r="F1" s="6" t="s">
        <v>24</v>
      </c>
    </row>
    <row r="2" customFormat="false" ht="15" hidden="false" customHeight="false" outlineLevel="0" collapsed="false">
      <c r="A2" s="9" t="s">
        <v>25</v>
      </c>
      <c r="B2" s="10" t="s">
        <v>26</v>
      </c>
      <c r="C2" s="10" t="s">
        <v>27</v>
      </c>
      <c r="D2" s="10" t="s">
        <v>28</v>
      </c>
      <c r="E2" s="10" t="s">
        <v>29</v>
      </c>
      <c r="F2" s="11" t="s">
        <v>30</v>
      </c>
      <c r="G2" s="11" t="s">
        <v>31</v>
      </c>
      <c r="H2" s="11" t="s">
        <v>32</v>
      </c>
      <c r="I2" s="11" t="s">
        <v>33</v>
      </c>
      <c r="J2" s="11"/>
      <c r="K2" s="11"/>
      <c r="L2" s="11"/>
      <c r="M2" s="11"/>
      <c r="N2" s="11"/>
      <c r="O2" s="11"/>
    </row>
    <row r="3" customFormat="false" ht="15" hidden="false" customHeight="false" outlineLevel="0" collapsed="false">
      <c r="A3" s="12" t="s">
        <v>34</v>
      </c>
      <c r="B3" s="13" t="s">
        <v>35</v>
      </c>
      <c r="C3" s="13" t="s">
        <v>36</v>
      </c>
      <c r="D3" s="13"/>
      <c r="E3" s="13" t="s">
        <v>37</v>
      </c>
      <c r="F3" s="14" t="n">
        <v>48.4</v>
      </c>
      <c r="G3" s="15" t="n">
        <f aca="false">$F$3</f>
        <v>48.4</v>
      </c>
      <c r="H3" s="15" t="n">
        <f aca="false">$F$3</f>
        <v>48.4</v>
      </c>
      <c r="I3" s="15" t="n">
        <f aca="false">$F$3</f>
        <v>48.4</v>
      </c>
      <c r="J3" s="15"/>
      <c r="K3" s="15"/>
      <c r="L3" s="15"/>
      <c r="M3" s="15"/>
      <c r="N3" s="15"/>
      <c r="O3" s="15"/>
    </row>
    <row r="4" customFormat="false" ht="15" hidden="false" customHeight="false" outlineLevel="0" collapsed="false">
      <c r="A4" s="12" t="s">
        <v>38</v>
      </c>
      <c r="B4" s="13" t="s">
        <v>39</v>
      </c>
      <c r="C4" s="13" t="s">
        <v>36</v>
      </c>
      <c r="D4" s="13"/>
      <c r="E4" s="13" t="s">
        <v>37</v>
      </c>
      <c r="F4" s="14" t="n">
        <v>11.738</v>
      </c>
      <c r="G4" s="15" t="n">
        <f aca="false">$F$4</f>
        <v>11.738</v>
      </c>
      <c r="H4" s="15" t="n">
        <f aca="false">$F$4</f>
        <v>11.738</v>
      </c>
      <c r="I4" s="15" t="n">
        <f aca="false">$F$4</f>
        <v>11.738</v>
      </c>
      <c r="J4" s="15"/>
      <c r="K4" s="15"/>
      <c r="L4" s="15"/>
      <c r="M4" s="15"/>
      <c r="N4" s="15"/>
      <c r="O4" s="15"/>
    </row>
    <row r="5" customFormat="false" ht="16.4" hidden="false" customHeight="false" outlineLevel="0" collapsed="false">
      <c r="A5" s="12" t="s">
        <v>40</v>
      </c>
      <c r="B5" s="13" t="s">
        <v>41</v>
      </c>
      <c r="C5" s="13" t="s">
        <v>42</v>
      </c>
      <c r="D5" s="13" t="s">
        <v>43</v>
      </c>
      <c r="E5" s="13" t="s">
        <v>37</v>
      </c>
      <c r="F5" s="14" t="n">
        <v>-13.5</v>
      </c>
      <c r="G5" s="15" t="n">
        <f aca="false">$F$5</f>
        <v>-13.5</v>
      </c>
      <c r="H5" s="15" t="n">
        <f aca="false">$F$5</f>
        <v>-13.5</v>
      </c>
      <c r="I5" s="15" t="n">
        <f aca="false">$F$5</f>
        <v>-13.5</v>
      </c>
      <c r="J5" s="15"/>
      <c r="K5" s="15"/>
      <c r="L5" s="15"/>
      <c r="M5" s="15"/>
      <c r="N5" s="15"/>
      <c r="O5" s="15"/>
    </row>
  </sheetData>
  <hyperlinks>
    <hyperlink ref="D5" r:id="rId1" display="https://www.waermepumpe.de/werkzeuge/klimakarte/"/>
  </hyperlink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EA72E"/>
    <pageSetUpPr fitToPage="false"/>
  </sheetPr>
  <dimension ref="A1:U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K12" activeCellId="0" sqref="K12"/>
    </sheetView>
  </sheetViews>
  <sheetFormatPr defaultColWidth="10.59765625" defaultRowHeight="15" zeroHeight="false" outlineLevelRow="0" outlineLevelCol="0"/>
  <cols>
    <col collapsed="false" customWidth="true" hidden="false" outlineLevel="0" max="1" min="1" style="0" width="22.57"/>
    <col collapsed="false" customWidth="true" hidden="false" outlineLevel="0" max="2" min="2" style="0" width="49.29"/>
    <col collapsed="false" customWidth="true" hidden="false" outlineLevel="0" max="4" min="4" style="0" width="11.43"/>
    <col collapsed="false" customWidth="true" hidden="false" outlineLevel="0" max="8" min="8" style="0" width="13.71"/>
  </cols>
  <sheetData>
    <row r="1" customFormat="false" ht="15" hidden="false" customHeight="false" outlineLevel="0" collapsed="false">
      <c r="A1" s="6" t="str">
        <f aca="false">Location!A1</f>
        <v>PARAMETERS</v>
      </c>
      <c r="B1" s="6"/>
      <c r="C1" s="6"/>
      <c r="D1" s="6"/>
      <c r="E1" s="6"/>
      <c r="F1" s="6" t="str">
        <f aca="false">Location!F1</f>
        <v>SCENARIO VALUES</v>
      </c>
      <c r="G1" s="6"/>
      <c r="H1" s="6"/>
      <c r="I1" s="6"/>
    </row>
    <row r="2" s="6" customFormat="true" ht="16.4" hidden="false" customHeight="false" outlineLevel="0" collapsed="false">
      <c r="A2" s="9" t="s">
        <v>44</v>
      </c>
      <c r="B2" s="10" t="s">
        <v>26</v>
      </c>
      <c r="C2" s="10" t="s">
        <v>27</v>
      </c>
      <c r="D2" s="10" t="s">
        <v>28</v>
      </c>
      <c r="E2" s="10" t="s">
        <v>29</v>
      </c>
      <c r="F2" s="11" t="str">
        <f aca="false">Location!F2</f>
        <v>BAU</v>
      </c>
      <c r="G2" s="11" t="str">
        <f aca="false">Location!G2</f>
        <v>PV + HP</v>
      </c>
      <c r="H2" s="11" t="str">
        <f aca="false">Location!H2</f>
        <v>Refurbished</v>
      </c>
      <c r="I2" s="11" t="str">
        <f aca="false">Location!I2</f>
        <v>Flex</v>
      </c>
      <c r="J2" s="11"/>
      <c r="K2" s="11"/>
      <c r="L2" s="11"/>
      <c r="M2" s="11"/>
      <c r="N2" s="11"/>
      <c r="O2" s="11"/>
      <c r="P2" s="16" t="s">
        <v>45</v>
      </c>
      <c r="S2" s="16"/>
      <c r="T2" s="17" t="n">
        <f aca="false">F17/'Building Data'!F5</f>
        <v>148.648648648649</v>
      </c>
      <c r="U2" s="16"/>
    </row>
    <row r="3" customFormat="false" ht="16.4" hidden="false" customHeight="false" outlineLevel="0" collapsed="false">
      <c r="A3" s="18" t="s">
        <v>46</v>
      </c>
      <c r="P3" s="16" t="s">
        <v>47</v>
      </c>
      <c r="Q3" s="19"/>
      <c r="R3" s="19"/>
      <c r="S3" s="19"/>
      <c r="T3" s="20" t="str">
        <f aca="false">IF(T2&lt;30,"A+",
IF(T2&lt;50,"A",
IF(T2&lt;75,"B",
IF(T2&lt;100,"C",
IF(T2&lt;130,"D",
IF(T2&lt;160,"E",
IF(T2&lt;200,"F",
IF(T2&lt;250,"G",
"H"))))))))</f>
        <v>E</v>
      </c>
      <c r="U3" s="19"/>
    </row>
    <row r="4" customFormat="false" ht="15" hidden="false" customHeight="false" outlineLevel="0" collapsed="false">
      <c r="A4" s="12" t="s">
        <v>48</v>
      </c>
      <c r="B4" s="13" t="s">
        <v>49</v>
      </c>
      <c r="C4" s="13"/>
      <c r="D4" s="13" t="s">
        <v>50</v>
      </c>
      <c r="E4" s="13" t="s">
        <v>37</v>
      </c>
      <c r="F4" s="14" t="n">
        <v>4</v>
      </c>
      <c r="G4" s="14" t="n">
        <v>4</v>
      </c>
      <c r="H4" s="14" t="n">
        <v>4</v>
      </c>
      <c r="I4" s="14" t="n">
        <v>4</v>
      </c>
      <c r="J4" s="14"/>
      <c r="K4" s="14"/>
      <c r="L4" s="14"/>
      <c r="M4" s="14"/>
      <c r="N4" s="14"/>
      <c r="O4" s="14"/>
      <c r="P4" s="19"/>
      <c r="Q4" s="19"/>
      <c r="R4" s="19"/>
      <c r="S4" s="19"/>
      <c r="T4" s="19"/>
      <c r="U4" s="19"/>
    </row>
    <row r="5" customFormat="false" ht="15" hidden="false" customHeight="false" outlineLevel="0" collapsed="false">
      <c r="A5" s="12" t="s">
        <v>51</v>
      </c>
      <c r="B5" s="13" t="s">
        <v>52</v>
      </c>
      <c r="C5" s="13"/>
      <c r="D5" s="13" t="s">
        <v>50</v>
      </c>
      <c r="E5" s="13" t="s">
        <v>37</v>
      </c>
      <c r="F5" s="14" t="n">
        <v>8</v>
      </c>
      <c r="G5" s="14" t="n">
        <v>8</v>
      </c>
      <c r="H5" s="14" t="n">
        <v>8</v>
      </c>
      <c r="I5" s="14" t="n">
        <v>8</v>
      </c>
      <c r="J5" s="14"/>
      <c r="K5" s="14"/>
      <c r="L5" s="14"/>
      <c r="M5" s="14"/>
      <c r="N5" s="14"/>
      <c r="O5" s="14"/>
      <c r="P5" s="19"/>
      <c r="Q5" s="19"/>
      <c r="R5" s="19"/>
      <c r="S5" s="19"/>
      <c r="T5" s="19"/>
      <c r="U5" s="19"/>
    </row>
    <row r="6" customFormat="false" ht="15" hidden="false" customHeight="false" outlineLevel="0" collapsed="false">
      <c r="A6" s="18" t="s">
        <v>53</v>
      </c>
      <c r="P6" s="19"/>
      <c r="Q6" s="19"/>
      <c r="R6" s="19"/>
      <c r="S6" s="19"/>
      <c r="T6" s="19"/>
      <c r="U6" s="19"/>
    </row>
    <row r="7" customFormat="false" ht="15" hidden="false" customHeight="false" outlineLevel="0" collapsed="false">
      <c r="A7" s="12" t="s">
        <v>54</v>
      </c>
      <c r="B7" s="13" t="s">
        <v>55</v>
      </c>
      <c r="C7" s="13" t="s">
        <v>56</v>
      </c>
      <c r="D7" s="13"/>
      <c r="E7" s="13" t="s">
        <v>37</v>
      </c>
      <c r="F7" s="14" t="n">
        <v>30</v>
      </c>
      <c r="G7" s="14" t="n">
        <v>30</v>
      </c>
      <c r="H7" s="14" t="n">
        <v>30</v>
      </c>
      <c r="I7" s="14" t="n">
        <v>30</v>
      </c>
      <c r="J7" s="14"/>
      <c r="K7" s="14"/>
      <c r="L7" s="14"/>
      <c r="M7" s="14"/>
      <c r="N7" s="14"/>
      <c r="O7" s="14"/>
      <c r="P7" s="19"/>
      <c r="Q7" s="19"/>
      <c r="R7" s="19"/>
      <c r="S7" s="19"/>
      <c r="T7" s="19"/>
      <c r="U7" s="19"/>
    </row>
    <row r="8" customFormat="false" ht="15" hidden="false" customHeight="false" outlineLevel="0" collapsed="false">
      <c r="A8" s="12" t="s">
        <v>57</v>
      </c>
      <c r="B8" s="13" t="s">
        <v>58</v>
      </c>
      <c r="C8" s="13" t="s">
        <v>59</v>
      </c>
      <c r="D8" s="13" t="s">
        <v>50</v>
      </c>
      <c r="E8" s="13" t="s">
        <v>37</v>
      </c>
      <c r="F8" s="14" t="n">
        <v>8000</v>
      </c>
      <c r="G8" s="14" t="n">
        <v>8000</v>
      </c>
      <c r="H8" s="14" t="n">
        <v>8000</v>
      </c>
      <c r="I8" s="14" t="n">
        <v>8000</v>
      </c>
      <c r="J8" s="14"/>
      <c r="K8" s="14"/>
      <c r="L8" s="14"/>
      <c r="M8" s="14"/>
      <c r="N8" s="14"/>
      <c r="O8" s="14"/>
      <c r="P8" s="19"/>
      <c r="Q8" s="19"/>
      <c r="R8" s="19"/>
      <c r="S8" s="19"/>
      <c r="T8" s="19"/>
      <c r="U8" s="19"/>
    </row>
    <row r="9" customFormat="false" ht="16.4" hidden="false" customHeight="false" outlineLevel="0" collapsed="false">
      <c r="A9" s="9" t="s">
        <v>60</v>
      </c>
      <c r="B9" s="13" t="s">
        <v>61</v>
      </c>
      <c r="C9" s="13" t="s">
        <v>62</v>
      </c>
      <c r="D9" s="13" t="s">
        <v>50</v>
      </c>
      <c r="E9" s="13" t="s">
        <v>37</v>
      </c>
      <c r="F9" s="21" t="n">
        <v>2</v>
      </c>
      <c r="G9" s="21" t="n">
        <v>2</v>
      </c>
      <c r="H9" s="21" t="n">
        <v>2</v>
      </c>
      <c r="I9" s="21" t="n">
        <v>2</v>
      </c>
      <c r="J9" s="21"/>
      <c r="K9" s="21"/>
      <c r="L9" s="21"/>
      <c r="M9" s="21"/>
      <c r="N9" s="21"/>
      <c r="O9" s="21"/>
      <c r="P9" s="19"/>
      <c r="Q9" s="19"/>
      <c r="R9" s="19"/>
      <c r="S9" s="22" t="s">
        <v>63</v>
      </c>
      <c r="T9" s="23" t="n">
        <v>30</v>
      </c>
      <c r="U9" s="19"/>
    </row>
    <row r="10" customFormat="false" ht="16.4" hidden="false" customHeight="false" outlineLevel="0" collapsed="false">
      <c r="A10" s="9" t="s">
        <v>64</v>
      </c>
      <c r="B10" s="13" t="s">
        <v>65</v>
      </c>
      <c r="C10" s="13" t="s">
        <v>62</v>
      </c>
      <c r="D10" s="13" t="s">
        <v>50</v>
      </c>
      <c r="E10" s="13" t="s">
        <v>37</v>
      </c>
      <c r="F10" s="21" t="n">
        <v>0</v>
      </c>
      <c r="G10" s="21" t="n">
        <v>0</v>
      </c>
      <c r="H10" s="21" t="n">
        <v>0</v>
      </c>
      <c r="I10" s="21" t="n">
        <v>0</v>
      </c>
      <c r="J10" s="21"/>
      <c r="K10" s="21"/>
      <c r="L10" s="21"/>
      <c r="M10" s="21"/>
      <c r="N10" s="21"/>
      <c r="O10" s="21"/>
      <c r="P10" s="19"/>
      <c r="Q10" s="19"/>
      <c r="R10" s="19"/>
      <c r="S10" s="22" t="s">
        <v>66</v>
      </c>
      <c r="T10" s="23" t="n">
        <v>50</v>
      </c>
      <c r="U10" s="19"/>
    </row>
    <row r="11" customFormat="false" ht="16.4" hidden="false" customHeight="false" outlineLevel="0" collapsed="false">
      <c r="A11" s="9" t="s">
        <v>67</v>
      </c>
      <c r="B11" s="13" t="s">
        <v>68</v>
      </c>
      <c r="C11" s="13" t="s">
        <v>62</v>
      </c>
      <c r="D11" s="13" t="s">
        <v>50</v>
      </c>
      <c r="E11" s="13" t="s">
        <v>37</v>
      </c>
      <c r="F11" s="21" t="n">
        <v>1</v>
      </c>
      <c r="G11" s="21" t="n">
        <v>1</v>
      </c>
      <c r="H11" s="21" t="n">
        <v>1</v>
      </c>
      <c r="I11" s="21" t="n">
        <v>1</v>
      </c>
      <c r="J11" s="21"/>
      <c r="K11" s="21"/>
      <c r="L11" s="21"/>
      <c r="M11" s="21"/>
      <c r="N11" s="21"/>
      <c r="O11" s="21"/>
      <c r="P11" s="19"/>
      <c r="Q11" s="19"/>
      <c r="R11" s="19"/>
      <c r="S11" s="22" t="s">
        <v>69</v>
      </c>
      <c r="T11" s="23" t="n">
        <v>75</v>
      </c>
      <c r="U11" s="19"/>
    </row>
    <row r="12" customFormat="false" ht="16.4" hidden="false" customHeight="false" outlineLevel="0" collapsed="false">
      <c r="A12" s="9" t="s">
        <v>70</v>
      </c>
      <c r="B12" s="13" t="s">
        <v>71</v>
      </c>
      <c r="C12" s="13" t="s">
        <v>62</v>
      </c>
      <c r="D12" s="13" t="s">
        <v>50</v>
      </c>
      <c r="E12" s="13" t="s">
        <v>37</v>
      </c>
      <c r="F12" s="21" t="n">
        <v>1</v>
      </c>
      <c r="G12" s="21" t="n">
        <v>1</v>
      </c>
      <c r="H12" s="21" t="n">
        <v>1</v>
      </c>
      <c r="I12" s="21" t="n">
        <v>1</v>
      </c>
      <c r="J12" s="21"/>
      <c r="K12" s="21"/>
      <c r="L12" s="21"/>
      <c r="M12" s="21"/>
      <c r="N12" s="21"/>
      <c r="O12" s="21"/>
      <c r="P12" s="19"/>
      <c r="Q12" s="19"/>
      <c r="R12" s="19"/>
      <c r="S12" s="22" t="s">
        <v>72</v>
      </c>
      <c r="T12" s="23" t="n">
        <v>100</v>
      </c>
      <c r="U12" s="19"/>
    </row>
    <row r="13" customFormat="false" ht="16.4" hidden="false" customHeight="false" outlineLevel="0" collapsed="false">
      <c r="A13" s="18" t="s">
        <v>73</v>
      </c>
      <c r="P13" s="19"/>
      <c r="Q13" s="19"/>
      <c r="R13" s="19"/>
      <c r="S13" s="22" t="s">
        <v>74</v>
      </c>
      <c r="T13" s="23" t="n">
        <v>130</v>
      </c>
      <c r="U13" s="19"/>
    </row>
    <row r="14" customFormat="false" ht="16.4" hidden="false" customHeight="false" outlineLevel="0" collapsed="false">
      <c r="A14" s="9" t="s">
        <v>75</v>
      </c>
      <c r="B14" s="13" t="s">
        <v>76</v>
      </c>
      <c r="C14" s="13" t="s">
        <v>77</v>
      </c>
      <c r="D14" s="13" t="s">
        <v>50</v>
      </c>
      <c r="E14" s="13" t="s">
        <v>37</v>
      </c>
      <c r="F14" s="24" t="n">
        <v>40</v>
      </c>
      <c r="G14" s="24" t="n">
        <v>40</v>
      </c>
      <c r="H14" s="24" t="n">
        <v>40</v>
      </c>
      <c r="I14" s="24" t="n">
        <v>40</v>
      </c>
      <c r="J14" s="24"/>
      <c r="K14" s="24"/>
      <c r="L14" s="24"/>
      <c r="M14" s="24"/>
      <c r="N14" s="24"/>
      <c r="O14" s="24"/>
      <c r="P14" s="19"/>
      <c r="Q14" s="19"/>
      <c r="R14" s="19"/>
      <c r="S14" s="22" t="s">
        <v>78</v>
      </c>
      <c r="T14" s="23" t="n">
        <v>160</v>
      </c>
      <c r="U14" s="19"/>
    </row>
    <row r="15" customFormat="false" ht="16.4" hidden="false" customHeight="false" outlineLevel="0" collapsed="false">
      <c r="A15" s="9" t="s">
        <v>79</v>
      </c>
      <c r="B15" s="13" t="s">
        <v>80</v>
      </c>
      <c r="C15" s="13" t="s">
        <v>42</v>
      </c>
      <c r="D15" s="13" t="s">
        <v>81</v>
      </c>
      <c r="E15" s="13" t="s">
        <v>37</v>
      </c>
      <c r="F15" s="25" t="n">
        <v>65</v>
      </c>
      <c r="G15" s="25" t="n">
        <v>65</v>
      </c>
      <c r="H15" s="25" t="n">
        <v>65</v>
      </c>
      <c r="I15" s="25" t="n">
        <v>65</v>
      </c>
      <c r="J15" s="25"/>
      <c r="K15" s="25"/>
      <c r="L15" s="25"/>
      <c r="M15" s="25"/>
      <c r="N15" s="25"/>
      <c r="O15" s="25"/>
      <c r="P15" s="19"/>
      <c r="Q15" s="19"/>
      <c r="R15" s="19"/>
      <c r="S15" s="22" t="s">
        <v>82</v>
      </c>
      <c r="T15" s="23" t="n">
        <v>200</v>
      </c>
      <c r="U15" s="19"/>
    </row>
    <row r="16" customFormat="false" ht="16.4" hidden="false" customHeight="false" outlineLevel="0" collapsed="false">
      <c r="A16" s="18" t="s">
        <v>83</v>
      </c>
      <c r="F16" s="26"/>
      <c r="G16" s="26"/>
      <c r="H16" s="26"/>
      <c r="I16" s="26"/>
      <c r="J16" s="26"/>
      <c r="K16" s="26"/>
      <c r="L16" s="26"/>
      <c r="M16" s="26"/>
      <c r="N16" s="26"/>
      <c r="O16" s="26"/>
      <c r="P16" s="19"/>
      <c r="Q16" s="19"/>
      <c r="R16" s="19"/>
      <c r="S16" s="22" t="s">
        <v>84</v>
      </c>
      <c r="T16" s="23" t="n">
        <v>250</v>
      </c>
      <c r="U16" s="19"/>
    </row>
    <row r="17" customFormat="false" ht="16.4" hidden="false" customHeight="false" outlineLevel="0" collapsed="false">
      <c r="A17" s="12" t="s">
        <v>85</v>
      </c>
      <c r="B17" s="13" t="s">
        <v>86</v>
      </c>
      <c r="C17" s="13" t="s">
        <v>59</v>
      </c>
      <c r="D17" s="13" t="s">
        <v>87</v>
      </c>
      <c r="E17" s="13" t="s">
        <v>37</v>
      </c>
      <c r="F17" s="14" t="n">
        <v>55000</v>
      </c>
      <c r="G17" s="14" t="n">
        <v>55000</v>
      </c>
      <c r="H17" s="14" t="n">
        <v>55000</v>
      </c>
      <c r="I17" s="14" t="n">
        <v>55000</v>
      </c>
      <c r="J17" s="14"/>
      <c r="K17" s="14"/>
      <c r="L17" s="14"/>
      <c r="M17" s="14"/>
      <c r="N17" s="14"/>
      <c r="O17" s="14"/>
      <c r="P17" s="19"/>
      <c r="Q17" s="27"/>
      <c r="R17" s="27"/>
      <c r="S17" s="22" t="s">
        <v>88</v>
      </c>
      <c r="T17" s="23" t="n">
        <v>300</v>
      </c>
      <c r="U17" s="19"/>
    </row>
    <row r="18" customFormat="false" ht="15" hidden="false" customHeight="false" outlineLevel="0" collapsed="false">
      <c r="A18" s="9" t="s">
        <v>89</v>
      </c>
      <c r="B18" s="13" t="s">
        <v>90</v>
      </c>
      <c r="C18" s="13" t="s">
        <v>42</v>
      </c>
      <c r="D18" s="13" t="s">
        <v>50</v>
      </c>
      <c r="E18" s="13" t="s">
        <v>37</v>
      </c>
      <c r="F18" s="24" t="n">
        <v>20</v>
      </c>
      <c r="G18" s="24" t="n">
        <v>20</v>
      </c>
      <c r="H18" s="24" t="n">
        <v>20</v>
      </c>
      <c r="I18" s="24" t="n">
        <v>20</v>
      </c>
      <c r="J18" s="24"/>
      <c r="K18" s="24"/>
      <c r="L18" s="24"/>
      <c r="M18" s="24"/>
      <c r="N18" s="24"/>
      <c r="O18" s="24"/>
      <c r="P18" s="19"/>
      <c r="Q18" s="27"/>
      <c r="R18" s="27"/>
      <c r="S18" s="22"/>
      <c r="T18" s="23"/>
      <c r="U18" s="19"/>
    </row>
    <row r="19" customFormat="false" ht="15" hidden="false" customHeight="false" outlineLevel="0" collapsed="false">
      <c r="A19" s="9" t="s">
        <v>91</v>
      </c>
      <c r="B19" s="13" t="s">
        <v>92</v>
      </c>
      <c r="C19" s="13" t="s">
        <v>42</v>
      </c>
      <c r="D19" s="13" t="s">
        <v>93</v>
      </c>
      <c r="E19" s="13" t="s">
        <v>37</v>
      </c>
      <c r="F19" s="24" t="n">
        <v>16</v>
      </c>
      <c r="G19" s="24" t="n">
        <v>16</v>
      </c>
      <c r="H19" s="24" t="n">
        <v>16</v>
      </c>
      <c r="I19" s="24" t="n">
        <v>16</v>
      </c>
      <c r="J19" s="24"/>
      <c r="K19" s="24"/>
      <c r="L19" s="24"/>
      <c r="M19" s="24"/>
      <c r="N19" s="24"/>
      <c r="O19" s="24"/>
      <c r="P19" s="19"/>
      <c r="Q19" s="27"/>
      <c r="R19" s="27"/>
      <c r="S19" s="19"/>
      <c r="T19" s="19"/>
      <c r="U19" s="19"/>
    </row>
    <row r="20" customFormat="false" ht="15" hidden="false" customHeight="false" outlineLevel="0" collapsed="false">
      <c r="A20" s="9" t="s">
        <v>94</v>
      </c>
      <c r="B20" s="13" t="s">
        <v>95</v>
      </c>
      <c r="C20" s="13" t="s">
        <v>96</v>
      </c>
      <c r="D20" s="13" t="s">
        <v>97</v>
      </c>
      <c r="E20" s="13" t="s">
        <v>98</v>
      </c>
      <c r="F20" s="24" t="s">
        <v>99</v>
      </c>
      <c r="G20" s="24" t="s">
        <v>99</v>
      </c>
      <c r="H20" s="24" t="s">
        <v>99</v>
      </c>
      <c r="I20" s="24" t="s">
        <v>99</v>
      </c>
      <c r="J20" s="24"/>
      <c r="K20" s="24"/>
      <c r="L20" s="24"/>
      <c r="M20" s="24"/>
      <c r="N20" s="24"/>
      <c r="O20" s="24"/>
      <c r="P20" s="19"/>
      <c r="Q20" s="27"/>
      <c r="R20" s="27"/>
      <c r="S20" s="19"/>
      <c r="T20" s="19"/>
      <c r="U20" s="19"/>
    </row>
    <row r="21" customFormat="false" ht="15" hidden="false" customHeight="false" outlineLevel="0" collapsed="false">
      <c r="A21" s="9" t="s">
        <v>100</v>
      </c>
      <c r="B21" s="13" t="s">
        <v>101</v>
      </c>
      <c r="C21" s="13" t="s">
        <v>42</v>
      </c>
      <c r="D21" s="13" t="s">
        <v>102</v>
      </c>
      <c r="E21" s="13" t="s">
        <v>37</v>
      </c>
      <c r="F21" s="24" t="n">
        <v>15</v>
      </c>
      <c r="G21" s="24" t="n">
        <v>15</v>
      </c>
      <c r="H21" s="24" t="n">
        <v>15</v>
      </c>
      <c r="I21" s="24" t="n">
        <v>15</v>
      </c>
      <c r="J21" s="24"/>
      <c r="K21" s="24"/>
      <c r="L21" s="24"/>
      <c r="M21" s="24"/>
      <c r="N21" s="24"/>
      <c r="O21" s="24"/>
      <c r="P21" s="19"/>
      <c r="Q21" s="27"/>
      <c r="R21" s="27"/>
      <c r="S21" s="19"/>
      <c r="T21" s="19"/>
      <c r="U21" s="19"/>
    </row>
    <row r="22" customFormat="false" ht="15" hidden="false" customHeight="false" outlineLevel="0" collapsed="false">
      <c r="A22" s="9" t="s">
        <v>103</v>
      </c>
      <c r="B22" s="13" t="s">
        <v>104</v>
      </c>
      <c r="C22" s="13" t="s">
        <v>42</v>
      </c>
      <c r="D22" s="13" t="s">
        <v>105</v>
      </c>
      <c r="E22" s="13" t="s">
        <v>37</v>
      </c>
      <c r="F22" s="24" t="n">
        <v>0.5</v>
      </c>
      <c r="G22" s="24" t="n">
        <v>0.5</v>
      </c>
      <c r="H22" s="24" t="n">
        <v>0.5</v>
      </c>
      <c r="I22" s="24" t="n">
        <v>0.5</v>
      </c>
      <c r="J22" s="24"/>
      <c r="K22" s="24"/>
      <c r="L22" s="24"/>
      <c r="M22" s="24"/>
      <c r="N22" s="24"/>
      <c r="O22" s="24"/>
      <c r="P22" s="19"/>
      <c r="Q22" s="27"/>
      <c r="R22" s="27"/>
      <c r="S22" s="19"/>
      <c r="T22" s="19"/>
      <c r="U22" s="19"/>
    </row>
    <row r="23" customFormat="false" ht="15" hidden="false" customHeight="false" outlineLevel="0" collapsed="false">
      <c r="A23" s="9" t="s">
        <v>106</v>
      </c>
      <c r="B23" s="13" t="s">
        <v>107</v>
      </c>
      <c r="C23" s="13" t="s">
        <v>42</v>
      </c>
      <c r="D23" s="13" t="s">
        <v>50</v>
      </c>
      <c r="E23" s="13" t="s">
        <v>37</v>
      </c>
      <c r="F23" s="24" t="n">
        <v>55</v>
      </c>
      <c r="G23" s="24" t="n">
        <v>55</v>
      </c>
      <c r="H23" s="24" t="n">
        <v>55</v>
      </c>
      <c r="I23" s="24" t="n">
        <v>55</v>
      </c>
      <c r="J23" s="24"/>
      <c r="K23" s="24"/>
      <c r="L23" s="24"/>
      <c r="M23" s="24"/>
      <c r="N23" s="24"/>
      <c r="O23" s="24"/>
      <c r="P23" s="19"/>
      <c r="Q23" s="27"/>
      <c r="R23" s="27"/>
      <c r="S23" s="19"/>
      <c r="T23" s="19"/>
      <c r="U23" s="19"/>
    </row>
    <row r="24" customFormat="false" ht="15" hidden="false" customHeight="false" outlineLevel="0" collapsed="false">
      <c r="A24" s="18" t="s">
        <v>108</v>
      </c>
    </row>
    <row r="25" customFormat="false" ht="15" hidden="false" customHeight="false" outlineLevel="0" collapsed="false">
      <c r="A25" s="28" t="s">
        <v>109</v>
      </c>
      <c r="B25" s="13" t="s">
        <v>110</v>
      </c>
      <c r="C25" s="13" t="s">
        <v>56</v>
      </c>
      <c r="D25" s="29" t="s">
        <v>111</v>
      </c>
      <c r="E25" s="13" t="s">
        <v>37</v>
      </c>
      <c r="F25" s="24" t="n">
        <v>20</v>
      </c>
      <c r="G25" s="24" t="n">
        <v>20</v>
      </c>
      <c r="H25" s="24" t="n">
        <v>20</v>
      </c>
      <c r="I25" s="24" t="n">
        <v>20</v>
      </c>
      <c r="J25" s="24"/>
      <c r="K25" s="24"/>
      <c r="L25" s="24"/>
      <c r="M25" s="24"/>
      <c r="N25" s="24"/>
      <c r="O25" s="24"/>
    </row>
    <row r="26" customFormat="false" ht="31.3" hidden="false" customHeight="false" outlineLevel="0" collapsed="false">
      <c r="A26" s="28" t="s">
        <v>112</v>
      </c>
      <c r="B26" s="30" t="s">
        <v>113</v>
      </c>
      <c r="C26" s="13"/>
      <c r="D26" s="29" t="s">
        <v>111</v>
      </c>
      <c r="E26" s="13" t="s">
        <v>98</v>
      </c>
      <c r="F26" s="31" t="s">
        <v>114</v>
      </c>
      <c r="G26" s="31" t="s">
        <v>114</v>
      </c>
      <c r="H26" s="31" t="s">
        <v>114</v>
      </c>
      <c r="I26" s="31" t="s">
        <v>114</v>
      </c>
      <c r="J26" s="31"/>
      <c r="K26" s="31"/>
      <c r="L26" s="31"/>
      <c r="M26" s="31"/>
      <c r="N26" s="31"/>
      <c r="O26" s="31"/>
    </row>
    <row r="27" customFormat="false" ht="15" hidden="false" customHeight="false" outlineLevel="0" collapsed="false">
      <c r="A27" s="28" t="s">
        <v>115</v>
      </c>
      <c r="B27" s="13" t="s">
        <v>116</v>
      </c>
      <c r="C27" s="13" t="s">
        <v>117</v>
      </c>
      <c r="D27" s="29" t="s">
        <v>111</v>
      </c>
      <c r="E27" s="13" t="s">
        <v>37</v>
      </c>
      <c r="F27" s="24" t="n">
        <v>50</v>
      </c>
      <c r="G27" s="24" t="n">
        <v>50</v>
      </c>
      <c r="H27" s="24" t="n">
        <v>50</v>
      </c>
      <c r="I27" s="24" t="n">
        <v>50</v>
      </c>
      <c r="J27" s="24"/>
      <c r="K27" s="24"/>
      <c r="L27" s="24"/>
      <c r="M27" s="24"/>
      <c r="N27" s="24"/>
      <c r="O27" s="24"/>
    </row>
    <row r="28" customFormat="false" ht="15" hidden="false" customHeight="false" outlineLevel="0" collapsed="false">
      <c r="A28" s="28" t="s">
        <v>118</v>
      </c>
      <c r="B28" s="13" t="s">
        <v>119</v>
      </c>
      <c r="C28" s="13" t="s">
        <v>120</v>
      </c>
      <c r="D28" s="29" t="s">
        <v>111</v>
      </c>
      <c r="E28" s="13" t="s">
        <v>37</v>
      </c>
      <c r="F28" s="24" t="n">
        <v>20</v>
      </c>
      <c r="G28" s="24" t="n">
        <v>20</v>
      </c>
      <c r="H28" s="24" t="n">
        <v>20</v>
      </c>
      <c r="I28" s="24" t="n">
        <v>20</v>
      </c>
      <c r="J28" s="24"/>
      <c r="K28" s="24"/>
      <c r="L28" s="24"/>
      <c r="M28" s="24"/>
      <c r="N28" s="24"/>
      <c r="O28" s="24"/>
    </row>
    <row r="29" customFormat="false" ht="15" hidden="false" customHeight="false" outlineLevel="0" collapsed="false">
      <c r="A29" s="28" t="s">
        <v>121</v>
      </c>
      <c r="B29" s="13" t="s">
        <v>122</v>
      </c>
      <c r="C29" s="13" t="s">
        <v>123</v>
      </c>
      <c r="D29" s="29" t="s">
        <v>111</v>
      </c>
      <c r="E29" s="13" t="s">
        <v>98</v>
      </c>
      <c r="F29" s="31" t="s">
        <v>124</v>
      </c>
      <c r="G29" s="31" t="s">
        <v>124</v>
      </c>
      <c r="H29" s="31" t="s">
        <v>124</v>
      </c>
      <c r="I29" s="31" t="s">
        <v>124</v>
      </c>
      <c r="J29" s="31"/>
      <c r="K29" s="31"/>
      <c r="L29" s="31"/>
      <c r="M29" s="31"/>
      <c r="N29" s="31"/>
      <c r="O29" s="31"/>
    </row>
    <row r="30" customFormat="false" ht="46.25" hidden="false" customHeight="false" outlineLevel="0" collapsed="false">
      <c r="A30" s="28" t="s">
        <v>125</v>
      </c>
      <c r="B30" s="30" t="s">
        <v>126</v>
      </c>
      <c r="C30" s="13"/>
      <c r="D30" s="29" t="s">
        <v>111</v>
      </c>
      <c r="E30" s="13" t="s">
        <v>98</v>
      </c>
      <c r="F30" s="32" t="s">
        <v>127</v>
      </c>
      <c r="G30" s="32" t="s">
        <v>127</v>
      </c>
      <c r="H30" s="32" t="s">
        <v>127</v>
      </c>
      <c r="I30" s="32" t="s">
        <v>127</v>
      </c>
      <c r="J30" s="32"/>
      <c r="K30" s="32"/>
      <c r="L30" s="32"/>
      <c r="M30" s="32"/>
      <c r="N30" s="32"/>
      <c r="O30" s="32"/>
    </row>
    <row r="31" customFormat="false" ht="15" hidden="false" customHeight="false" outlineLevel="0" collapsed="false">
      <c r="A31" s="28" t="s">
        <v>128</v>
      </c>
      <c r="B31" s="13" t="s">
        <v>110</v>
      </c>
      <c r="C31" s="13" t="s">
        <v>56</v>
      </c>
      <c r="D31" s="29" t="s">
        <v>111</v>
      </c>
      <c r="E31" s="13" t="s">
        <v>37</v>
      </c>
      <c r="F31" s="24" t="n">
        <v>20</v>
      </c>
      <c r="G31" s="24" t="n">
        <v>20</v>
      </c>
      <c r="H31" s="24" t="n">
        <v>20</v>
      </c>
      <c r="I31" s="24" t="n">
        <v>20</v>
      </c>
      <c r="J31" s="24"/>
      <c r="K31" s="24"/>
      <c r="L31" s="24"/>
      <c r="M31" s="24"/>
      <c r="N31" s="24"/>
      <c r="O31" s="24"/>
    </row>
    <row r="32" customFormat="false" ht="31.3" hidden="false" customHeight="false" outlineLevel="0" collapsed="false">
      <c r="A32" s="28" t="s">
        <v>129</v>
      </c>
      <c r="B32" s="30" t="s">
        <v>113</v>
      </c>
      <c r="C32" s="13"/>
      <c r="D32" s="29" t="s">
        <v>111</v>
      </c>
      <c r="E32" s="13" t="s">
        <v>98</v>
      </c>
      <c r="F32" s="31" t="s">
        <v>114</v>
      </c>
      <c r="G32" s="31" t="s">
        <v>114</v>
      </c>
      <c r="H32" s="31" t="s">
        <v>114</v>
      </c>
      <c r="I32" s="31" t="s">
        <v>114</v>
      </c>
      <c r="J32" s="31"/>
      <c r="K32" s="31"/>
      <c r="L32" s="31"/>
      <c r="M32" s="31"/>
      <c r="N32" s="31"/>
      <c r="O32" s="31"/>
    </row>
    <row r="33" customFormat="false" ht="15" hidden="false" customHeight="false" outlineLevel="0" collapsed="false">
      <c r="A33" s="28" t="s">
        <v>130</v>
      </c>
      <c r="B33" s="13" t="s">
        <v>116</v>
      </c>
      <c r="C33" s="13" t="s">
        <v>117</v>
      </c>
      <c r="D33" s="29" t="s">
        <v>111</v>
      </c>
      <c r="E33" s="13" t="s">
        <v>37</v>
      </c>
      <c r="F33" s="24" t="n">
        <v>50</v>
      </c>
      <c r="G33" s="24" t="n">
        <v>50</v>
      </c>
      <c r="H33" s="24" t="n">
        <v>50</v>
      </c>
      <c r="I33" s="24" t="n">
        <v>50</v>
      </c>
      <c r="J33" s="24"/>
      <c r="K33" s="24"/>
      <c r="L33" s="24"/>
      <c r="M33" s="24"/>
      <c r="N33" s="24"/>
      <c r="O33" s="24"/>
    </row>
    <row r="34" customFormat="false" ht="15" hidden="false" customHeight="false" outlineLevel="0" collapsed="false">
      <c r="A34" s="28" t="s">
        <v>131</v>
      </c>
      <c r="B34" s="13" t="s">
        <v>119</v>
      </c>
      <c r="C34" s="13" t="s">
        <v>120</v>
      </c>
      <c r="D34" s="29" t="s">
        <v>111</v>
      </c>
      <c r="E34" s="13" t="s">
        <v>37</v>
      </c>
      <c r="F34" s="24" t="n">
        <v>20</v>
      </c>
      <c r="G34" s="24" t="n">
        <v>20</v>
      </c>
      <c r="H34" s="24" t="n">
        <v>20</v>
      </c>
      <c r="I34" s="24" t="n">
        <v>20</v>
      </c>
      <c r="J34" s="24"/>
      <c r="K34" s="24"/>
      <c r="L34" s="24"/>
      <c r="M34" s="24"/>
      <c r="N34" s="24"/>
      <c r="O34" s="24"/>
    </row>
    <row r="35" customFormat="false" ht="15" hidden="false" customHeight="false" outlineLevel="0" collapsed="false">
      <c r="A35" s="28" t="s">
        <v>132</v>
      </c>
      <c r="B35" s="13" t="s">
        <v>122</v>
      </c>
      <c r="C35" s="13" t="s">
        <v>123</v>
      </c>
      <c r="D35" s="29" t="s">
        <v>111</v>
      </c>
      <c r="E35" s="13" t="s">
        <v>98</v>
      </c>
      <c r="F35" s="31" t="n">
        <v>6</v>
      </c>
      <c r="G35" s="31" t="n">
        <v>6</v>
      </c>
      <c r="H35" s="31" t="n">
        <v>6</v>
      </c>
      <c r="I35" s="31" t="n">
        <v>6</v>
      </c>
      <c r="J35" s="31"/>
      <c r="K35" s="31"/>
      <c r="L35" s="31"/>
      <c r="M35" s="31"/>
      <c r="N35" s="31"/>
      <c r="O35" s="31"/>
    </row>
    <row r="36" customFormat="false" ht="46.25" hidden="false" customHeight="false" outlineLevel="0" collapsed="false">
      <c r="A36" s="28" t="s">
        <v>133</v>
      </c>
      <c r="B36" s="30" t="s">
        <v>126</v>
      </c>
      <c r="C36" s="13"/>
      <c r="D36" s="29" t="s">
        <v>111</v>
      </c>
      <c r="E36" s="13" t="s">
        <v>98</v>
      </c>
      <c r="F36" s="32" t="s">
        <v>134</v>
      </c>
      <c r="G36" s="32" t="s">
        <v>134</v>
      </c>
      <c r="H36" s="32" t="s">
        <v>134</v>
      </c>
      <c r="I36" s="32" t="s">
        <v>134</v>
      </c>
      <c r="J36" s="32"/>
      <c r="K36" s="32"/>
      <c r="L36" s="32"/>
      <c r="M36" s="32"/>
      <c r="N36" s="32"/>
      <c r="O36" s="32"/>
    </row>
    <row r="37" customFormat="false" ht="15" hidden="false" customHeight="false" outlineLevel="0" collapsed="false">
      <c r="A37" s="28" t="s">
        <v>135</v>
      </c>
      <c r="B37" s="13" t="s">
        <v>110</v>
      </c>
      <c r="C37" s="13" t="s">
        <v>56</v>
      </c>
      <c r="D37" s="29" t="s">
        <v>111</v>
      </c>
      <c r="E37" s="13" t="s">
        <v>37</v>
      </c>
      <c r="F37" s="24" t="n">
        <v>20</v>
      </c>
      <c r="G37" s="24" t="n">
        <v>20</v>
      </c>
      <c r="H37" s="24" t="n">
        <v>20</v>
      </c>
      <c r="I37" s="24" t="n">
        <v>20</v>
      </c>
      <c r="J37" s="24"/>
      <c r="K37" s="24"/>
      <c r="L37" s="24"/>
      <c r="M37" s="24"/>
      <c r="N37" s="24"/>
      <c r="O37" s="24"/>
    </row>
    <row r="38" customFormat="false" ht="31.3" hidden="false" customHeight="false" outlineLevel="0" collapsed="false">
      <c r="A38" s="28" t="s">
        <v>136</v>
      </c>
      <c r="B38" s="30" t="s">
        <v>113</v>
      </c>
      <c r="C38" s="13"/>
      <c r="D38" s="29" t="s">
        <v>111</v>
      </c>
      <c r="E38" s="13" t="s">
        <v>98</v>
      </c>
      <c r="F38" s="31" t="s">
        <v>114</v>
      </c>
      <c r="G38" s="31" t="s">
        <v>114</v>
      </c>
      <c r="H38" s="31" t="s">
        <v>114</v>
      </c>
      <c r="I38" s="31" t="s">
        <v>114</v>
      </c>
      <c r="J38" s="31"/>
      <c r="K38" s="31"/>
      <c r="L38" s="31"/>
      <c r="M38" s="31"/>
      <c r="N38" s="31"/>
      <c r="O38" s="31"/>
    </row>
    <row r="39" customFormat="false" ht="15" hidden="false" customHeight="false" outlineLevel="0" collapsed="false">
      <c r="A39" s="28" t="s">
        <v>137</v>
      </c>
      <c r="B39" s="13" t="s">
        <v>116</v>
      </c>
      <c r="C39" s="13" t="s">
        <v>117</v>
      </c>
      <c r="D39" s="29" t="s">
        <v>111</v>
      </c>
      <c r="E39" s="13" t="s">
        <v>37</v>
      </c>
      <c r="F39" s="24" t="n">
        <v>50</v>
      </c>
      <c r="G39" s="24" t="n">
        <v>50</v>
      </c>
      <c r="H39" s="24" t="n">
        <v>50</v>
      </c>
      <c r="I39" s="24" t="n">
        <v>50</v>
      </c>
      <c r="J39" s="24"/>
      <c r="K39" s="24"/>
      <c r="L39" s="24"/>
      <c r="M39" s="24"/>
      <c r="N39" s="24"/>
      <c r="O39" s="24"/>
    </row>
    <row r="40" customFormat="false" ht="15" hidden="false" customHeight="false" outlineLevel="0" collapsed="false">
      <c r="A40" s="28" t="s">
        <v>138</v>
      </c>
      <c r="B40" s="13" t="s">
        <v>119</v>
      </c>
      <c r="C40" s="13" t="s">
        <v>120</v>
      </c>
      <c r="D40" s="29" t="s">
        <v>111</v>
      </c>
      <c r="E40" s="13" t="s">
        <v>37</v>
      </c>
      <c r="F40" s="24" t="n">
        <v>20</v>
      </c>
      <c r="G40" s="24" t="n">
        <v>20</v>
      </c>
      <c r="H40" s="24" t="n">
        <v>20</v>
      </c>
      <c r="I40" s="24" t="n">
        <v>20</v>
      </c>
      <c r="J40" s="24"/>
      <c r="K40" s="24"/>
      <c r="L40" s="24"/>
      <c r="M40" s="24"/>
      <c r="N40" s="24"/>
      <c r="O40" s="24"/>
    </row>
    <row r="41" customFormat="false" ht="15" hidden="false" customHeight="false" outlineLevel="0" collapsed="false">
      <c r="A41" s="28" t="s">
        <v>139</v>
      </c>
      <c r="B41" s="13" t="s">
        <v>122</v>
      </c>
      <c r="C41" s="13" t="s">
        <v>123</v>
      </c>
      <c r="D41" s="29" t="s">
        <v>111</v>
      </c>
      <c r="E41" s="13" t="s">
        <v>98</v>
      </c>
      <c r="F41" s="24" t="s">
        <v>140</v>
      </c>
      <c r="G41" s="24" t="s">
        <v>140</v>
      </c>
      <c r="H41" s="24" t="s">
        <v>140</v>
      </c>
      <c r="I41" s="24" t="s">
        <v>140</v>
      </c>
      <c r="J41" s="24"/>
      <c r="K41" s="24"/>
      <c r="L41" s="24"/>
      <c r="M41" s="24"/>
      <c r="N41" s="24"/>
      <c r="O41" s="24"/>
    </row>
    <row r="42" customFormat="false" ht="46.25" hidden="false" customHeight="false" outlineLevel="0" collapsed="false">
      <c r="A42" s="28" t="s">
        <v>141</v>
      </c>
      <c r="B42" s="30" t="s">
        <v>126</v>
      </c>
      <c r="C42" s="13"/>
      <c r="D42" s="29" t="s">
        <v>111</v>
      </c>
      <c r="E42" s="13" t="s">
        <v>98</v>
      </c>
      <c r="F42" s="32" t="s">
        <v>142</v>
      </c>
      <c r="G42" s="32" t="s">
        <v>142</v>
      </c>
      <c r="H42" s="32" t="s">
        <v>142</v>
      </c>
      <c r="I42" s="32" t="s">
        <v>142</v>
      </c>
      <c r="J42" s="32"/>
      <c r="K42" s="32"/>
      <c r="L42" s="32"/>
      <c r="M42" s="32"/>
      <c r="N42" s="32"/>
      <c r="O42" s="32"/>
    </row>
    <row r="43" customFormat="false" ht="15" hidden="false" customHeight="false" outlineLevel="0" collapsed="false">
      <c r="A43" s="28"/>
      <c r="B43" s="13"/>
      <c r="C43" s="13"/>
      <c r="D43" s="29"/>
      <c r="E43" s="13"/>
      <c r="F43" s="24"/>
      <c r="G43" s="24"/>
      <c r="H43" s="24"/>
      <c r="I43" s="24"/>
      <c r="J43" s="24"/>
      <c r="K43" s="24"/>
      <c r="L43" s="24"/>
      <c r="M43" s="24"/>
      <c r="N43" s="24"/>
      <c r="O43" s="24"/>
    </row>
    <row r="44" customFormat="false" ht="15" hidden="false" customHeight="false" outlineLevel="0" collapsed="false">
      <c r="A44" s="28"/>
      <c r="B44" s="30"/>
      <c r="C44" s="13"/>
      <c r="D44" s="29"/>
      <c r="E44" s="13"/>
      <c r="F44" s="31"/>
      <c r="G44" s="31"/>
      <c r="H44" s="31"/>
      <c r="I44" s="31"/>
      <c r="J44" s="31"/>
      <c r="K44" s="31"/>
      <c r="L44" s="31"/>
      <c r="M44" s="31"/>
      <c r="N44" s="31"/>
      <c r="O44" s="31"/>
    </row>
    <row r="45" customFormat="false" ht="15" hidden="false" customHeight="false" outlineLevel="0" collapsed="false">
      <c r="A45" s="28"/>
      <c r="B45" s="13"/>
      <c r="C45" s="13"/>
      <c r="D45" s="29"/>
      <c r="E45" s="13"/>
      <c r="F45" s="24"/>
      <c r="G45" s="24"/>
      <c r="H45" s="24"/>
      <c r="I45" s="24"/>
      <c r="J45" s="24"/>
      <c r="K45" s="24"/>
      <c r="L45" s="24"/>
      <c r="M45" s="24"/>
      <c r="N45" s="24"/>
      <c r="O45" s="24"/>
    </row>
    <row r="46" customFormat="false" ht="15" hidden="false" customHeight="false" outlineLevel="0" collapsed="false">
      <c r="A46" s="28"/>
      <c r="B46" s="13"/>
      <c r="C46" s="13"/>
      <c r="D46" s="29"/>
      <c r="E46" s="13"/>
      <c r="F46" s="24"/>
      <c r="G46" s="24"/>
      <c r="H46" s="24"/>
      <c r="I46" s="24"/>
      <c r="J46" s="24"/>
      <c r="K46" s="24"/>
      <c r="L46" s="24"/>
      <c r="M46" s="24"/>
      <c r="N46" s="24"/>
      <c r="O46" s="24"/>
    </row>
    <row r="47" customFormat="false" ht="15" hidden="false" customHeight="false" outlineLevel="0" collapsed="false">
      <c r="A47" s="28"/>
      <c r="B47" s="13"/>
      <c r="C47" s="13"/>
      <c r="D47" s="29"/>
      <c r="E47" s="13"/>
      <c r="F47" s="24"/>
      <c r="G47" s="24"/>
      <c r="H47" s="24"/>
      <c r="I47" s="24"/>
      <c r="J47" s="24"/>
      <c r="K47" s="24"/>
      <c r="L47" s="24"/>
      <c r="M47" s="24"/>
      <c r="N47" s="24"/>
      <c r="O47" s="24"/>
    </row>
    <row r="48" customFormat="false" ht="15" hidden="false" customHeight="false" outlineLevel="0" collapsed="false">
      <c r="A48" s="28"/>
      <c r="B48" s="30"/>
      <c r="C48" s="13"/>
      <c r="D48" s="29"/>
      <c r="E48" s="13"/>
      <c r="F48" s="32"/>
      <c r="G48" s="32"/>
      <c r="H48" s="32"/>
      <c r="I48" s="32"/>
      <c r="J48" s="32"/>
      <c r="K48" s="32"/>
      <c r="L48" s="32"/>
      <c r="M48" s="32"/>
      <c r="N48" s="32"/>
      <c r="O48" s="32"/>
    </row>
  </sheetData>
  <conditionalFormatting sqref="S9:S18">
    <cfRule type="colorScale" priority="2">
      <colorScale>
        <cfvo type="min" val="0"/>
        <cfvo type="percentile" val="50"/>
        <cfvo type="max" val="0"/>
        <color rgb="FF63BE7B"/>
        <color rgb="FFFFEB84"/>
        <color rgb="FFF8696B"/>
      </colorScale>
    </cfRule>
  </conditionalFormatting>
  <conditionalFormatting sqref="T3">
    <cfRule type="cellIs" priority="3" operator="equal" aboveAverage="0" equalAverage="0" bottom="0" percent="0" rank="0" text="" dxfId="0">
      <formula>"H"</formula>
    </cfRule>
  </conditionalFormatting>
  <conditionalFormatting sqref="T2:T18">
    <cfRule type="colorScale" priority="4">
      <colorScale>
        <cfvo type="min" val="0"/>
        <cfvo type="percentile" val="50"/>
        <cfvo type="max" val="0"/>
        <color rgb="FF92D050"/>
        <color rgb="FFFFC000"/>
        <color rgb="FFFF0000"/>
      </colorScale>
    </cfRule>
  </conditionalFormatting>
  <dataValidations count="2">
    <dataValidation allowBlank="true" errorStyle="stop" operator="between" showDropDown="false" showErrorMessage="true" showInputMessage="true" sqref="F30:O30 F36:O36 F42:O42 F48:O48" type="list">
      <formula1>Definitions!$F$2:$F$4</formula1>
      <formula2>0</formula2>
    </dataValidation>
    <dataValidation allowBlank="true" errorStyle="stop" operator="between" showDropDown="false" showErrorMessage="true" showInputMessage="true" sqref="F14:O14" type="list">
      <formula1>Definitions!$G$2:$G$4</formula1>
      <formula2>0</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EA72E"/>
    <pageSetUpPr fitToPage="false"/>
  </sheetPr>
  <dimension ref="A1:O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K7" activeCellId="0" sqref="K7"/>
    </sheetView>
  </sheetViews>
  <sheetFormatPr defaultColWidth="10.59765625" defaultRowHeight="15" zeroHeight="false" outlineLevelRow="0" outlineLevelCol="0"/>
  <cols>
    <col collapsed="false" customWidth="true" hidden="false" outlineLevel="0" max="1" min="1" style="0" width="31.15"/>
    <col collapsed="false" customWidth="true" hidden="false" outlineLevel="0" max="2" min="2" style="0" width="48.29"/>
    <col collapsed="false" customWidth="true" hidden="false" outlineLevel="0" max="4" min="4" style="33" width="44.57"/>
    <col collapsed="false" customWidth="true" hidden="false" outlineLevel="0" max="5" min="5" style="33" width="9.14"/>
  </cols>
  <sheetData>
    <row r="1" customFormat="false" ht="15" hidden="false" customHeight="false" outlineLevel="0" collapsed="false">
      <c r="A1" s="6" t="str">
        <f aca="false">Location!A1</f>
        <v>PARAMETERS</v>
      </c>
      <c r="B1" s="6"/>
      <c r="C1" s="6"/>
      <c r="D1" s="34"/>
      <c r="E1" s="34"/>
      <c r="F1" s="6" t="str">
        <f aca="false">Location!F1</f>
        <v>SCENARIO VALUES</v>
      </c>
      <c r="G1" s="6"/>
      <c r="H1" s="6"/>
      <c r="I1" s="6"/>
    </row>
    <row r="2" customFormat="false" ht="16.4" hidden="false" customHeight="false" outlineLevel="0" collapsed="false">
      <c r="A2" s="9" t="s">
        <v>44</v>
      </c>
      <c r="B2" s="10" t="s">
        <v>26</v>
      </c>
      <c r="C2" s="10" t="s">
        <v>27</v>
      </c>
      <c r="D2" s="35" t="s">
        <v>28</v>
      </c>
      <c r="E2" s="35" t="s">
        <v>29</v>
      </c>
      <c r="F2" s="11" t="str">
        <f aca="false">Location!F2</f>
        <v>BAU</v>
      </c>
      <c r="G2" s="11" t="str">
        <f aca="false">Location!G2</f>
        <v>PV + HP</v>
      </c>
      <c r="H2" s="11" t="str">
        <f aca="false">Location!H2</f>
        <v>Refurbished</v>
      </c>
      <c r="I2" s="11" t="str">
        <f aca="false">Location!I2</f>
        <v>Flex</v>
      </c>
      <c r="J2" s="11"/>
      <c r="K2" s="11"/>
      <c r="L2" s="11"/>
      <c r="M2" s="11"/>
      <c r="N2" s="11"/>
      <c r="O2" s="11"/>
    </row>
    <row r="3" s="37" customFormat="true" ht="15" hidden="false" customHeight="false" outlineLevel="0" collapsed="false">
      <c r="A3" s="18" t="s">
        <v>143</v>
      </c>
      <c r="B3" s="18"/>
      <c r="C3" s="18"/>
      <c r="D3" s="36"/>
      <c r="E3" s="36"/>
      <c r="F3" s="18"/>
      <c r="G3" s="18"/>
      <c r="H3" s="18"/>
      <c r="I3" s="18"/>
      <c r="J3" s="18"/>
      <c r="K3" s="18"/>
      <c r="L3" s="18"/>
      <c r="M3" s="18"/>
      <c r="N3" s="18"/>
      <c r="O3" s="18"/>
    </row>
    <row r="4" customFormat="false" ht="16.4" hidden="false" customHeight="false" outlineLevel="0" collapsed="false">
      <c r="A4" s="9" t="s">
        <v>144</v>
      </c>
      <c r="B4" s="13" t="s">
        <v>145</v>
      </c>
      <c r="C4" s="13" t="s">
        <v>62</v>
      </c>
      <c r="D4" s="30" t="s">
        <v>146</v>
      </c>
      <c r="E4" s="30" t="s">
        <v>98</v>
      </c>
      <c r="F4" s="32" t="s">
        <v>147</v>
      </c>
      <c r="G4" s="32" t="s">
        <v>147</v>
      </c>
      <c r="H4" s="32" t="s">
        <v>147</v>
      </c>
      <c r="I4" s="32" t="s">
        <v>147</v>
      </c>
      <c r="J4" s="32"/>
      <c r="K4" s="32"/>
      <c r="L4" s="32"/>
      <c r="M4" s="32"/>
      <c r="N4" s="32"/>
      <c r="O4" s="32"/>
    </row>
    <row r="5" customFormat="false" ht="16.4" hidden="false" customHeight="false" outlineLevel="0" collapsed="false">
      <c r="A5" s="12" t="s">
        <v>148</v>
      </c>
      <c r="B5" s="13" t="s">
        <v>149</v>
      </c>
      <c r="C5" s="13" t="s">
        <v>150</v>
      </c>
      <c r="D5" s="30"/>
      <c r="E5" s="30" t="s">
        <v>37</v>
      </c>
      <c r="F5" s="14" t="n">
        <v>370</v>
      </c>
      <c r="G5" s="14" t="n">
        <v>370</v>
      </c>
      <c r="H5" s="14" t="n">
        <v>370</v>
      </c>
      <c r="I5" s="14" t="n">
        <v>370</v>
      </c>
      <c r="J5" s="14"/>
      <c r="K5" s="14"/>
      <c r="L5" s="14"/>
      <c r="M5" s="14"/>
      <c r="N5" s="14"/>
      <c r="O5" s="14"/>
    </row>
    <row r="6" customFormat="false" ht="16.4" hidden="false" customHeight="false" outlineLevel="0" collapsed="false">
      <c r="A6" s="9" t="s">
        <v>151</v>
      </c>
      <c r="B6" s="13" t="s">
        <v>152</v>
      </c>
      <c r="C6" s="13" t="s">
        <v>153</v>
      </c>
      <c r="D6" s="30" t="s">
        <v>154</v>
      </c>
      <c r="E6" s="30" t="s">
        <v>37</v>
      </c>
      <c r="F6" s="38" t="n">
        <f aca="false">F5*2.6</f>
        <v>962</v>
      </c>
      <c r="G6" s="38" t="n">
        <f aca="false">G5*2.6</f>
        <v>962</v>
      </c>
      <c r="H6" s="38" t="n">
        <f aca="false">H5*2.6</f>
        <v>962</v>
      </c>
      <c r="I6" s="38" t="n">
        <f aca="false">I5*2.6</f>
        <v>962</v>
      </c>
      <c r="J6" s="38"/>
      <c r="K6" s="38"/>
      <c r="L6" s="38"/>
      <c r="M6" s="38"/>
      <c r="N6" s="38"/>
      <c r="O6" s="38"/>
    </row>
    <row r="7" customFormat="false" ht="31.3" hidden="false" customHeight="false" outlineLevel="0" collapsed="false">
      <c r="A7" s="9" t="s">
        <v>155</v>
      </c>
      <c r="B7" s="13" t="s">
        <v>156</v>
      </c>
      <c r="C7" s="13" t="s">
        <v>157</v>
      </c>
      <c r="D7" s="30" t="s">
        <v>158</v>
      </c>
      <c r="E7" s="30" t="s">
        <v>37</v>
      </c>
      <c r="F7" s="24" t="n">
        <f aca="false">F6*(IF(F4="SFH",0.76,0.8))</f>
        <v>769.6</v>
      </c>
      <c r="G7" s="24" t="n">
        <f aca="false">G6*(IF(G4="SFH",0.76,0.8))</f>
        <v>769.6</v>
      </c>
      <c r="H7" s="24" t="n">
        <f aca="false">H6*(IF(H4="SFH",0.76,0.8))</f>
        <v>769.6</v>
      </c>
      <c r="I7" s="24" t="n">
        <f aca="false">I6*(IF(I4="SFH",0.76,0.8))</f>
        <v>769.6</v>
      </c>
      <c r="J7" s="24"/>
      <c r="K7" s="24"/>
      <c r="L7" s="24"/>
      <c r="M7" s="24"/>
      <c r="N7" s="24"/>
      <c r="O7" s="24"/>
    </row>
    <row r="8" customFormat="false" ht="16.4" hidden="false" customHeight="false" outlineLevel="0" collapsed="false">
      <c r="A8" s="12" t="s">
        <v>159</v>
      </c>
      <c r="B8" s="13" t="s">
        <v>160</v>
      </c>
      <c r="C8" s="13" t="s">
        <v>161</v>
      </c>
      <c r="D8" s="30"/>
      <c r="E8" s="30" t="s">
        <v>37</v>
      </c>
      <c r="F8" s="14" t="n">
        <v>0</v>
      </c>
      <c r="G8" s="14" t="n">
        <v>0</v>
      </c>
      <c r="H8" s="14" t="n">
        <v>0</v>
      </c>
      <c r="I8" s="14" t="n">
        <v>0</v>
      </c>
      <c r="J8" s="14"/>
      <c r="K8" s="14"/>
      <c r="L8" s="14"/>
      <c r="M8" s="14"/>
      <c r="N8" s="14"/>
      <c r="O8" s="14"/>
    </row>
    <row r="9" customFormat="false" ht="16.4" hidden="false" customHeight="false" outlineLevel="0" collapsed="false">
      <c r="A9" s="9" t="s">
        <v>162</v>
      </c>
      <c r="B9" s="13" t="s">
        <v>163</v>
      </c>
      <c r="C9" s="13" t="s">
        <v>62</v>
      </c>
      <c r="D9" s="30"/>
      <c r="E9" s="30" t="s">
        <v>37</v>
      </c>
      <c r="F9" s="24" t="n">
        <v>0.8</v>
      </c>
      <c r="G9" s="24" t="n">
        <v>0.8</v>
      </c>
      <c r="H9" s="24" t="n">
        <v>0.8</v>
      </c>
      <c r="I9" s="24" t="n">
        <v>0.8</v>
      </c>
      <c r="J9" s="24"/>
      <c r="K9" s="24"/>
      <c r="L9" s="24"/>
      <c r="M9" s="24"/>
      <c r="N9" s="24"/>
      <c r="O9" s="24"/>
    </row>
    <row r="10" customFormat="false" ht="16.4" hidden="false" customHeight="false" outlineLevel="0" collapsed="false">
      <c r="A10" s="9" t="s">
        <v>164</v>
      </c>
      <c r="B10" s="13" t="s">
        <v>165</v>
      </c>
      <c r="C10" s="13" t="s">
        <v>62</v>
      </c>
      <c r="D10" s="30"/>
      <c r="E10" s="30" t="s">
        <v>37</v>
      </c>
      <c r="F10" s="24" t="n">
        <f aca="false">IF(F8=1,0.4,0.5)*(1-IF(F8=1,F9,0)+0.04)</f>
        <v>0.52</v>
      </c>
      <c r="G10" s="24" t="n">
        <f aca="false">IF(G8=1,0.4,0.5)*(1-IF(G8=1,G9,0)+0.04)</f>
        <v>0.52</v>
      </c>
      <c r="H10" s="24" t="n">
        <f aca="false">IF(H8=1,0.4,0.5)*(1-IF(H8=1,H9,0)+0.04)</f>
        <v>0.52</v>
      </c>
      <c r="I10" s="24" t="n">
        <f aca="false">IF(I8=1,0.4,0.5)*(1-IF(I8=1,I9,0)+0.04)</f>
        <v>0.52</v>
      </c>
      <c r="J10" s="24"/>
      <c r="K10" s="24"/>
      <c r="L10" s="24"/>
      <c r="M10" s="24"/>
      <c r="N10" s="24"/>
      <c r="O10" s="24"/>
    </row>
    <row r="11" customFormat="false" ht="16.4" hidden="false" customHeight="false" outlineLevel="0" collapsed="false">
      <c r="A11" s="9" t="s">
        <v>166</v>
      </c>
      <c r="B11" s="13" t="s">
        <v>167</v>
      </c>
      <c r="C11" s="13" t="s">
        <v>56</v>
      </c>
      <c r="D11" s="30"/>
      <c r="E11" s="30" t="s">
        <v>37</v>
      </c>
      <c r="F11" s="24" t="n">
        <f aca="false">IF(F4="SFH",50,100)/24*F5/1000</f>
        <v>1.54166666666667</v>
      </c>
      <c r="G11" s="24" t="n">
        <f aca="false">IF(G4="SFH",50,100)/24*G5/1000</f>
        <v>1.54166666666667</v>
      </c>
      <c r="H11" s="24" t="n">
        <f aca="false">IF(H4="SFH",50,100)/24*H5/1000</f>
        <v>1.54166666666667</v>
      </c>
      <c r="I11" s="24" t="n">
        <f aca="false">IF(I4="SFH",50,100)/24*I5/1000</f>
        <v>1.54166666666667</v>
      </c>
      <c r="J11" s="24"/>
      <c r="K11" s="24"/>
      <c r="L11" s="24"/>
      <c r="M11" s="24"/>
      <c r="N11" s="24"/>
      <c r="O11" s="24"/>
    </row>
    <row r="12" customFormat="false" ht="16.4" hidden="false" customHeight="false" outlineLevel="0" collapsed="false">
      <c r="A12" s="12" t="s">
        <v>168</v>
      </c>
      <c r="B12" s="29" t="s">
        <v>169</v>
      </c>
      <c r="C12" s="29" t="s">
        <v>170</v>
      </c>
      <c r="D12" s="39" t="s">
        <v>171</v>
      </c>
      <c r="E12" s="30" t="s">
        <v>37</v>
      </c>
      <c r="F12" s="14"/>
      <c r="G12" s="14"/>
      <c r="H12" s="14"/>
      <c r="I12" s="14"/>
      <c r="J12" s="14"/>
      <c r="K12" s="14"/>
      <c r="L12" s="14"/>
      <c r="M12" s="14"/>
      <c r="N12" s="14"/>
      <c r="O12" s="14"/>
    </row>
    <row r="13" customFormat="false" ht="16.4" hidden="false" customHeight="false" outlineLevel="0" collapsed="false">
      <c r="A13" s="40" t="s">
        <v>172</v>
      </c>
      <c r="B13" s="29" t="s">
        <v>173</v>
      </c>
      <c r="C13" s="29" t="s">
        <v>56</v>
      </c>
      <c r="D13" s="39" t="s">
        <v>174</v>
      </c>
      <c r="E13" s="30" t="s">
        <v>37</v>
      </c>
      <c r="F13" s="38"/>
      <c r="G13" s="38"/>
      <c r="H13" s="38"/>
      <c r="I13" s="38"/>
      <c r="J13" s="38"/>
      <c r="K13" s="38"/>
      <c r="L13" s="38"/>
      <c r="M13" s="38"/>
      <c r="N13" s="38"/>
      <c r="O13" s="38"/>
    </row>
    <row r="14" customFormat="false" ht="31.3" hidden="false" customHeight="false" outlineLevel="0" collapsed="false">
      <c r="A14" s="12" t="s">
        <v>175</v>
      </c>
      <c r="B14" s="13" t="s">
        <v>176</v>
      </c>
      <c r="C14" s="13" t="s">
        <v>153</v>
      </c>
      <c r="D14" s="30" t="s">
        <v>177</v>
      </c>
      <c r="E14" s="30" t="s">
        <v>37</v>
      </c>
      <c r="F14" s="14" t="n">
        <v>100</v>
      </c>
      <c r="G14" s="14" t="n">
        <v>100</v>
      </c>
      <c r="H14" s="14" t="n">
        <v>100</v>
      </c>
      <c r="I14" s="14" t="n">
        <v>100</v>
      </c>
      <c r="J14" s="14"/>
      <c r="K14" s="14"/>
      <c r="L14" s="14"/>
      <c r="M14" s="14"/>
      <c r="N14" s="14"/>
      <c r="O14" s="14"/>
    </row>
    <row r="15" customFormat="false" ht="16.4" hidden="false" customHeight="false" outlineLevel="0" collapsed="false">
      <c r="A15" s="9" t="s">
        <v>178</v>
      </c>
      <c r="B15" s="13" t="s">
        <v>179</v>
      </c>
      <c r="C15" s="13" t="s">
        <v>180</v>
      </c>
      <c r="D15" s="30" t="s">
        <v>181</v>
      </c>
      <c r="E15" s="30" t="s">
        <v>37</v>
      </c>
      <c r="F15" s="24" t="n">
        <v>800</v>
      </c>
      <c r="G15" s="24" t="n">
        <v>800</v>
      </c>
      <c r="H15" s="24" t="n">
        <v>800</v>
      </c>
      <c r="I15" s="24" t="n">
        <v>800</v>
      </c>
      <c r="J15" s="24"/>
      <c r="K15" s="24"/>
      <c r="L15" s="24"/>
      <c r="M15" s="24"/>
      <c r="N15" s="24"/>
      <c r="O15" s="24"/>
    </row>
    <row r="16" customFormat="false" ht="16.4" hidden="false" customHeight="false" outlineLevel="0" collapsed="false">
      <c r="A16" s="9" t="s">
        <v>182</v>
      </c>
      <c r="B16" s="13" t="s">
        <v>183</v>
      </c>
      <c r="C16" s="13" t="s">
        <v>184</v>
      </c>
      <c r="D16" s="30" t="s">
        <v>185</v>
      </c>
      <c r="E16" s="30" t="s">
        <v>37</v>
      </c>
      <c r="F16" s="24" t="n">
        <v>1500</v>
      </c>
      <c r="G16" s="24" t="n">
        <v>1500</v>
      </c>
      <c r="H16" s="24" t="n">
        <v>1500</v>
      </c>
      <c r="I16" s="24" t="n">
        <v>1500</v>
      </c>
      <c r="J16" s="24"/>
      <c r="K16" s="24"/>
      <c r="L16" s="24"/>
      <c r="M16" s="24"/>
      <c r="N16" s="24"/>
      <c r="O16" s="24"/>
    </row>
    <row r="17" customFormat="false" ht="16.4" hidden="false" customHeight="false" outlineLevel="0" collapsed="false">
      <c r="A17" s="9" t="s">
        <v>186</v>
      </c>
      <c r="B17" s="13" t="s">
        <v>187</v>
      </c>
      <c r="C17" s="13" t="s">
        <v>188</v>
      </c>
      <c r="D17" s="30" t="s">
        <v>189</v>
      </c>
      <c r="E17" s="30" t="s">
        <v>37</v>
      </c>
      <c r="F17" s="41" t="n">
        <f aca="false">(F14*F15*F16)/3600/F6</f>
        <v>34.6500346500347</v>
      </c>
      <c r="G17" s="41" t="n">
        <f aca="false">(G14*G15*G16)/3600/G6</f>
        <v>34.6500346500347</v>
      </c>
      <c r="H17" s="41" t="n">
        <f aca="false">(H14*H15*H16)/3600/H6</f>
        <v>34.6500346500347</v>
      </c>
      <c r="I17" s="41" t="n">
        <f aca="false">(I14*I15*I16)/3600/I6</f>
        <v>34.6500346500347</v>
      </c>
      <c r="J17" s="41"/>
      <c r="K17" s="41"/>
      <c r="L17" s="41"/>
      <c r="M17" s="41"/>
      <c r="N17" s="41"/>
      <c r="O17" s="41"/>
    </row>
    <row r="18" s="43" customFormat="true" ht="15" hidden="false" customHeight="false" outlineLevel="0" collapsed="false">
      <c r="A18" s="42" t="s">
        <v>190</v>
      </c>
      <c r="D18" s="44"/>
      <c r="E18" s="44"/>
    </row>
    <row r="19" customFormat="false" ht="16.4" hidden="false" customHeight="false" outlineLevel="0" collapsed="false">
      <c r="A19" s="12" t="s">
        <v>191</v>
      </c>
      <c r="B19" s="13" t="s">
        <v>192</v>
      </c>
      <c r="C19" s="13" t="s">
        <v>36</v>
      </c>
      <c r="D19" s="30" t="s">
        <v>193</v>
      </c>
      <c r="E19" s="30" t="s">
        <v>194</v>
      </c>
      <c r="F19" s="14" t="n">
        <v>225</v>
      </c>
      <c r="G19" s="14" t="n">
        <v>225</v>
      </c>
      <c r="H19" s="14" t="n">
        <v>225</v>
      </c>
      <c r="I19" s="14" t="n">
        <v>225</v>
      </c>
      <c r="J19" s="14"/>
      <c r="K19" s="14"/>
      <c r="L19" s="14"/>
      <c r="M19" s="14"/>
      <c r="N19" s="14"/>
      <c r="O19" s="14"/>
    </row>
    <row r="20" customFormat="false" ht="31.3" hidden="false" customHeight="false" outlineLevel="0" collapsed="false">
      <c r="A20" s="12" t="s">
        <v>195</v>
      </c>
      <c r="B20" s="13" t="s">
        <v>196</v>
      </c>
      <c r="C20" s="13" t="s">
        <v>36</v>
      </c>
      <c r="D20" s="30" t="s">
        <v>197</v>
      </c>
      <c r="E20" s="30" t="s">
        <v>194</v>
      </c>
      <c r="F20" s="14" t="n">
        <v>90</v>
      </c>
      <c r="G20" s="14" t="n">
        <v>90</v>
      </c>
      <c r="H20" s="14" t="n">
        <v>90</v>
      </c>
      <c r="I20" s="14" t="n">
        <v>90</v>
      </c>
      <c r="J20" s="14"/>
      <c r="K20" s="14"/>
      <c r="L20" s="14"/>
      <c r="M20" s="14"/>
      <c r="N20" s="14"/>
      <c r="O20" s="14"/>
    </row>
    <row r="21" customFormat="false" ht="16.4" hidden="false" customHeight="false" outlineLevel="0" collapsed="false">
      <c r="A21" s="12" t="s">
        <v>198</v>
      </c>
      <c r="B21" s="13" t="s">
        <v>199</v>
      </c>
      <c r="C21" s="13" t="s">
        <v>150</v>
      </c>
      <c r="D21" s="35"/>
      <c r="E21" s="30" t="s">
        <v>37</v>
      </c>
      <c r="F21" s="14" t="n">
        <v>10</v>
      </c>
      <c r="G21" s="14" t="n">
        <v>10</v>
      </c>
      <c r="H21" s="14" t="n">
        <v>10</v>
      </c>
      <c r="I21" s="14" t="n">
        <v>10</v>
      </c>
      <c r="J21" s="14"/>
      <c r="K21" s="14"/>
      <c r="L21" s="14"/>
      <c r="M21" s="14"/>
      <c r="N21" s="14"/>
      <c r="O21" s="14"/>
    </row>
    <row r="22" customFormat="false" ht="16.4" hidden="false" customHeight="false" outlineLevel="0" collapsed="false">
      <c r="A22" s="12" t="s">
        <v>200</v>
      </c>
      <c r="B22" s="13" t="s">
        <v>201</v>
      </c>
      <c r="C22" s="13" t="s">
        <v>62</v>
      </c>
      <c r="D22" s="30" t="s">
        <v>202</v>
      </c>
      <c r="E22" s="30" t="s">
        <v>37</v>
      </c>
      <c r="F22" s="14" t="n">
        <v>0.75</v>
      </c>
      <c r="G22" s="14" t="n">
        <v>0.75</v>
      </c>
      <c r="H22" s="14" t="n">
        <v>0.75</v>
      </c>
      <c r="I22" s="14" t="n">
        <v>0.75</v>
      </c>
      <c r="J22" s="14"/>
      <c r="K22" s="14"/>
      <c r="L22" s="14"/>
      <c r="M22" s="14"/>
      <c r="N22" s="14"/>
      <c r="O22" s="14"/>
    </row>
    <row r="23" customFormat="false" ht="16.4" hidden="false" customHeight="false" outlineLevel="0" collapsed="false">
      <c r="A23" s="12" t="s">
        <v>203</v>
      </c>
      <c r="B23" s="13" t="s">
        <v>204</v>
      </c>
      <c r="C23" s="13" t="s">
        <v>150</v>
      </c>
      <c r="D23" s="30"/>
      <c r="E23" s="30" t="s">
        <v>37</v>
      </c>
      <c r="F23" s="14" t="n">
        <v>0</v>
      </c>
      <c r="G23" s="14" t="n">
        <v>0</v>
      </c>
      <c r="H23" s="14" t="n">
        <v>0</v>
      </c>
      <c r="I23" s="14" t="n">
        <v>0</v>
      </c>
      <c r="J23" s="14"/>
      <c r="K23" s="14"/>
      <c r="L23" s="14"/>
      <c r="M23" s="14"/>
      <c r="N23" s="14"/>
      <c r="O23" s="14"/>
    </row>
    <row r="24" customFormat="false" ht="16.4" hidden="false" customHeight="false" outlineLevel="0" collapsed="false">
      <c r="A24" s="12" t="s">
        <v>205</v>
      </c>
      <c r="B24" s="13" t="s">
        <v>206</v>
      </c>
      <c r="C24" s="13" t="s">
        <v>36</v>
      </c>
      <c r="D24" s="45" t="s">
        <v>207</v>
      </c>
      <c r="E24" s="30" t="s">
        <v>98</v>
      </c>
      <c r="F24" s="14" t="s">
        <v>208</v>
      </c>
      <c r="G24" s="14" t="s">
        <v>208</v>
      </c>
      <c r="H24" s="14" t="s">
        <v>208</v>
      </c>
      <c r="I24" s="14" t="s">
        <v>208</v>
      </c>
      <c r="J24" s="14"/>
      <c r="K24" s="14"/>
      <c r="L24" s="14"/>
      <c r="M24" s="14"/>
      <c r="N24" s="14"/>
      <c r="O24" s="14"/>
    </row>
    <row r="25" customFormat="false" ht="15" hidden="false" customHeight="false" outlineLevel="0" collapsed="false">
      <c r="A25" s="42" t="s">
        <v>209</v>
      </c>
      <c r="F25" s="5"/>
      <c r="G25" s="5"/>
      <c r="H25" s="5"/>
      <c r="I25" s="5"/>
      <c r="J25" s="5"/>
      <c r="K25" s="5"/>
      <c r="L25" s="5"/>
      <c r="M25" s="5"/>
      <c r="N25" s="5"/>
      <c r="O25" s="5"/>
    </row>
    <row r="26" customFormat="false" ht="16.4" hidden="false" customHeight="false" outlineLevel="0" collapsed="false">
      <c r="A26" s="12" t="s">
        <v>210</v>
      </c>
      <c r="B26" s="13" t="s">
        <v>192</v>
      </c>
      <c r="C26" s="13" t="s">
        <v>36</v>
      </c>
      <c r="D26" s="30" t="s">
        <v>193</v>
      </c>
      <c r="E26" s="30" t="s">
        <v>194</v>
      </c>
      <c r="F26" s="14" t="n">
        <v>135</v>
      </c>
      <c r="G26" s="14" t="n">
        <v>135</v>
      </c>
      <c r="H26" s="14" t="n">
        <v>135</v>
      </c>
      <c r="I26" s="14" t="n">
        <v>135</v>
      </c>
      <c r="J26" s="14"/>
      <c r="K26" s="14"/>
      <c r="L26" s="14"/>
      <c r="M26" s="14"/>
      <c r="N26" s="14"/>
      <c r="O26" s="14"/>
    </row>
    <row r="27" customFormat="false" ht="31.3" hidden="false" customHeight="false" outlineLevel="0" collapsed="false">
      <c r="A27" s="12" t="s">
        <v>211</v>
      </c>
      <c r="B27" s="13" t="s">
        <v>196</v>
      </c>
      <c r="C27" s="13" t="s">
        <v>36</v>
      </c>
      <c r="D27" s="30" t="s">
        <v>197</v>
      </c>
      <c r="E27" s="30" t="s">
        <v>194</v>
      </c>
      <c r="F27" s="14" t="n">
        <v>90</v>
      </c>
      <c r="G27" s="14" t="n">
        <v>90</v>
      </c>
      <c r="H27" s="14" t="n">
        <v>90</v>
      </c>
      <c r="I27" s="14" t="n">
        <v>90</v>
      </c>
      <c r="J27" s="14"/>
      <c r="K27" s="14"/>
      <c r="L27" s="14"/>
      <c r="M27" s="14"/>
      <c r="N27" s="14"/>
      <c r="O27" s="14"/>
    </row>
    <row r="28" customFormat="false" ht="16.4" hidden="false" customHeight="false" outlineLevel="0" collapsed="false">
      <c r="A28" s="12" t="s">
        <v>212</v>
      </c>
      <c r="B28" s="13" t="s">
        <v>199</v>
      </c>
      <c r="C28" s="13" t="s">
        <v>150</v>
      </c>
      <c r="D28" s="35"/>
      <c r="E28" s="30" t="s">
        <v>37</v>
      </c>
      <c r="F28" s="14" t="n">
        <v>10</v>
      </c>
      <c r="G28" s="14" t="n">
        <v>10</v>
      </c>
      <c r="H28" s="14" t="n">
        <v>10</v>
      </c>
      <c r="I28" s="14" t="n">
        <v>10</v>
      </c>
      <c r="J28" s="14"/>
      <c r="K28" s="14"/>
      <c r="L28" s="14"/>
      <c r="M28" s="14"/>
      <c r="N28" s="14"/>
      <c r="O28" s="14"/>
    </row>
    <row r="29" customFormat="false" ht="16.4" hidden="false" customHeight="false" outlineLevel="0" collapsed="false">
      <c r="A29" s="12" t="s">
        <v>213</v>
      </c>
      <c r="B29" s="13" t="s">
        <v>201</v>
      </c>
      <c r="C29" s="13" t="s">
        <v>62</v>
      </c>
      <c r="D29" s="30" t="s">
        <v>202</v>
      </c>
      <c r="E29" s="30" t="s">
        <v>37</v>
      </c>
      <c r="F29" s="14" t="n">
        <v>0.75</v>
      </c>
      <c r="G29" s="14" t="n">
        <v>0.75</v>
      </c>
      <c r="H29" s="14" t="n">
        <v>0.75</v>
      </c>
      <c r="I29" s="14" t="n">
        <v>0.75</v>
      </c>
      <c r="J29" s="14"/>
      <c r="K29" s="14"/>
      <c r="L29" s="14"/>
      <c r="M29" s="14"/>
      <c r="N29" s="14"/>
      <c r="O29" s="14"/>
    </row>
    <row r="30" customFormat="false" ht="16.4" hidden="false" customHeight="false" outlineLevel="0" collapsed="false">
      <c r="A30" s="12" t="s">
        <v>214</v>
      </c>
      <c r="B30" s="13" t="s">
        <v>204</v>
      </c>
      <c r="C30" s="13" t="s">
        <v>150</v>
      </c>
      <c r="D30" s="30"/>
      <c r="E30" s="30" t="s">
        <v>37</v>
      </c>
      <c r="F30" s="14" t="n">
        <v>0</v>
      </c>
      <c r="G30" s="14" t="n">
        <v>0</v>
      </c>
      <c r="H30" s="14" t="n">
        <v>0</v>
      </c>
      <c r="I30" s="14" t="n">
        <v>0</v>
      </c>
      <c r="J30" s="14"/>
      <c r="K30" s="14"/>
      <c r="L30" s="14"/>
      <c r="M30" s="14"/>
      <c r="N30" s="14"/>
      <c r="O30" s="14"/>
    </row>
    <row r="31" customFormat="false" ht="16.4" hidden="false" customHeight="false" outlineLevel="0" collapsed="false">
      <c r="A31" s="12" t="s">
        <v>215</v>
      </c>
      <c r="B31" s="13" t="s">
        <v>206</v>
      </c>
      <c r="C31" s="13" t="s">
        <v>36</v>
      </c>
      <c r="D31" s="45" t="s">
        <v>207</v>
      </c>
      <c r="E31" s="30" t="s">
        <v>98</v>
      </c>
      <c r="F31" s="14"/>
      <c r="G31" s="14"/>
      <c r="H31" s="14"/>
      <c r="I31" s="14"/>
      <c r="J31" s="14"/>
      <c r="K31" s="14"/>
      <c r="L31" s="14"/>
      <c r="M31" s="14"/>
      <c r="N31" s="14"/>
      <c r="O31" s="14"/>
    </row>
    <row r="32" customFormat="false" ht="15" hidden="false" customHeight="false" outlineLevel="0" collapsed="false">
      <c r="A32" s="42" t="s">
        <v>216</v>
      </c>
      <c r="F32" s="5"/>
      <c r="G32" s="5"/>
      <c r="H32" s="5"/>
      <c r="I32" s="5"/>
      <c r="J32" s="5"/>
      <c r="K32" s="5"/>
      <c r="L32" s="5"/>
      <c r="M32" s="5"/>
      <c r="N32" s="5"/>
      <c r="O32" s="5"/>
    </row>
    <row r="33" customFormat="false" ht="16.4" hidden="false" customHeight="false" outlineLevel="0" collapsed="false">
      <c r="A33" s="9" t="s">
        <v>217</v>
      </c>
      <c r="B33" s="13" t="s">
        <v>192</v>
      </c>
      <c r="C33" s="13" t="s">
        <v>36</v>
      </c>
      <c r="D33" s="30" t="s">
        <v>193</v>
      </c>
      <c r="E33" s="30" t="s">
        <v>194</v>
      </c>
      <c r="F33" s="24"/>
      <c r="G33" s="24"/>
      <c r="H33" s="24"/>
      <c r="I33" s="24"/>
      <c r="J33" s="24"/>
      <c r="K33" s="24"/>
      <c r="L33" s="24"/>
      <c r="M33" s="24"/>
      <c r="N33" s="24"/>
      <c r="O33" s="24"/>
    </row>
    <row r="34" customFormat="false" ht="31.3" hidden="false" customHeight="false" outlineLevel="0" collapsed="false">
      <c r="A34" s="40" t="s">
        <v>218</v>
      </c>
      <c r="B34" s="13" t="s">
        <v>196</v>
      </c>
      <c r="C34" s="13" t="s">
        <v>36</v>
      </c>
      <c r="D34" s="30" t="s">
        <v>197</v>
      </c>
      <c r="E34" s="30" t="s">
        <v>194</v>
      </c>
      <c r="F34" s="38"/>
      <c r="G34" s="38"/>
      <c r="H34" s="38"/>
      <c r="I34" s="38"/>
      <c r="J34" s="38"/>
      <c r="K34" s="38"/>
      <c r="L34" s="38"/>
      <c r="M34" s="38"/>
      <c r="N34" s="38"/>
      <c r="O34" s="38"/>
    </row>
    <row r="35" customFormat="false" ht="16.4" hidden="false" customHeight="false" outlineLevel="0" collapsed="false">
      <c r="A35" s="9" t="s">
        <v>219</v>
      </c>
      <c r="B35" s="13" t="s">
        <v>199</v>
      </c>
      <c r="C35" s="13" t="s">
        <v>150</v>
      </c>
      <c r="D35" s="35"/>
      <c r="E35" s="30" t="s">
        <v>37</v>
      </c>
      <c r="F35" s="38"/>
      <c r="G35" s="38"/>
      <c r="H35" s="38"/>
      <c r="I35" s="38"/>
      <c r="J35" s="38"/>
      <c r="K35" s="38"/>
      <c r="L35" s="38"/>
      <c r="M35" s="38"/>
      <c r="N35" s="38"/>
      <c r="O35" s="38"/>
    </row>
    <row r="36" customFormat="false" ht="16.4" hidden="false" customHeight="false" outlineLevel="0" collapsed="false">
      <c r="A36" s="9" t="s">
        <v>220</v>
      </c>
      <c r="B36" s="13" t="s">
        <v>201</v>
      </c>
      <c r="C36" s="13" t="s">
        <v>62</v>
      </c>
      <c r="D36" s="30" t="s">
        <v>202</v>
      </c>
      <c r="E36" s="30" t="s">
        <v>37</v>
      </c>
      <c r="F36" s="38"/>
      <c r="G36" s="38"/>
      <c r="H36" s="38"/>
      <c r="I36" s="38"/>
      <c r="J36" s="38"/>
      <c r="K36" s="38"/>
      <c r="L36" s="38"/>
      <c r="M36" s="38"/>
      <c r="N36" s="38"/>
      <c r="O36" s="38"/>
    </row>
    <row r="37" customFormat="false" ht="16.4" hidden="false" customHeight="false" outlineLevel="0" collapsed="false">
      <c r="A37" s="9" t="s">
        <v>221</v>
      </c>
      <c r="B37" s="13" t="s">
        <v>204</v>
      </c>
      <c r="C37" s="13" t="s">
        <v>150</v>
      </c>
      <c r="D37" s="30"/>
      <c r="E37" s="30" t="s">
        <v>37</v>
      </c>
      <c r="F37" s="38"/>
      <c r="G37" s="38"/>
      <c r="H37" s="38"/>
      <c r="I37" s="38"/>
      <c r="J37" s="38"/>
      <c r="K37" s="38"/>
      <c r="L37" s="38"/>
      <c r="M37" s="38"/>
      <c r="N37" s="38"/>
      <c r="O37" s="38"/>
    </row>
    <row r="38" customFormat="false" ht="16.4" hidden="false" customHeight="false" outlineLevel="0" collapsed="false">
      <c r="A38" s="9" t="s">
        <v>222</v>
      </c>
      <c r="B38" s="13" t="s">
        <v>206</v>
      </c>
      <c r="C38" s="13" t="s">
        <v>36</v>
      </c>
      <c r="D38" s="45" t="s">
        <v>207</v>
      </c>
      <c r="E38" s="30" t="s">
        <v>98</v>
      </c>
      <c r="F38" s="14"/>
      <c r="G38" s="14"/>
      <c r="H38" s="14"/>
      <c r="I38" s="14"/>
      <c r="J38" s="14"/>
      <c r="K38" s="14"/>
      <c r="L38" s="14"/>
      <c r="M38" s="14"/>
      <c r="N38" s="14"/>
      <c r="O38" s="14"/>
    </row>
    <row r="39" customFormat="false" ht="15" hidden="false" customHeight="false" outlineLevel="0" collapsed="false">
      <c r="A39" s="42" t="s">
        <v>223</v>
      </c>
      <c r="F39" s="46"/>
      <c r="G39" s="46"/>
      <c r="H39" s="46"/>
      <c r="I39" s="46"/>
      <c r="J39" s="46"/>
      <c r="K39" s="46"/>
      <c r="L39" s="46"/>
      <c r="M39" s="46"/>
      <c r="N39" s="46"/>
      <c r="O39" s="46"/>
    </row>
    <row r="40" customFormat="false" ht="16.4" hidden="false" customHeight="false" outlineLevel="0" collapsed="false">
      <c r="A40" s="9" t="s">
        <v>224</v>
      </c>
      <c r="B40" s="13" t="s">
        <v>192</v>
      </c>
      <c r="C40" s="13" t="s">
        <v>36</v>
      </c>
      <c r="D40" s="30" t="s">
        <v>193</v>
      </c>
      <c r="E40" s="30" t="s">
        <v>194</v>
      </c>
      <c r="F40" s="38"/>
      <c r="G40" s="38"/>
      <c r="H40" s="38"/>
      <c r="I40" s="38"/>
      <c r="J40" s="38"/>
      <c r="K40" s="38"/>
      <c r="L40" s="38"/>
      <c r="M40" s="38"/>
      <c r="N40" s="38"/>
      <c r="O40" s="38"/>
    </row>
    <row r="41" customFormat="false" ht="31.3" hidden="false" customHeight="false" outlineLevel="0" collapsed="false">
      <c r="A41" s="40" t="s">
        <v>225</v>
      </c>
      <c r="B41" s="13" t="s">
        <v>196</v>
      </c>
      <c r="C41" s="13" t="s">
        <v>36</v>
      </c>
      <c r="D41" s="30" t="s">
        <v>197</v>
      </c>
      <c r="E41" s="30" t="s">
        <v>194</v>
      </c>
      <c r="F41" s="38"/>
      <c r="G41" s="38"/>
      <c r="H41" s="38"/>
      <c r="I41" s="38"/>
      <c r="J41" s="38"/>
      <c r="K41" s="38"/>
      <c r="L41" s="38"/>
      <c r="M41" s="38"/>
      <c r="N41" s="38"/>
      <c r="O41" s="38"/>
    </row>
    <row r="42" customFormat="false" ht="16.4" hidden="false" customHeight="false" outlineLevel="0" collapsed="false">
      <c r="A42" s="9" t="s">
        <v>226</v>
      </c>
      <c r="B42" s="13" t="s">
        <v>199</v>
      </c>
      <c r="C42" s="13" t="s">
        <v>150</v>
      </c>
      <c r="D42" s="35"/>
      <c r="E42" s="30" t="s">
        <v>37</v>
      </c>
      <c r="F42" s="38"/>
      <c r="G42" s="38"/>
      <c r="H42" s="38"/>
      <c r="I42" s="38"/>
      <c r="J42" s="38"/>
      <c r="K42" s="38"/>
      <c r="L42" s="38"/>
      <c r="M42" s="38"/>
      <c r="N42" s="38"/>
      <c r="O42" s="38"/>
    </row>
    <row r="43" customFormat="false" ht="16.4" hidden="false" customHeight="false" outlineLevel="0" collapsed="false">
      <c r="A43" s="9" t="s">
        <v>227</v>
      </c>
      <c r="B43" s="13" t="s">
        <v>201</v>
      </c>
      <c r="C43" s="13" t="s">
        <v>62</v>
      </c>
      <c r="D43" s="30" t="s">
        <v>202</v>
      </c>
      <c r="E43" s="30" t="s">
        <v>37</v>
      </c>
      <c r="F43" s="24"/>
      <c r="G43" s="24"/>
      <c r="H43" s="24"/>
      <c r="I43" s="24"/>
      <c r="J43" s="24"/>
      <c r="K43" s="24"/>
      <c r="L43" s="24"/>
      <c r="M43" s="24"/>
      <c r="N43" s="24"/>
      <c r="O43" s="24"/>
    </row>
    <row r="44" customFormat="false" ht="16.4" hidden="false" customHeight="false" outlineLevel="0" collapsed="false">
      <c r="A44" s="9" t="s">
        <v>228</v>
      </c>
      <c r="B44" s="13" t="s">
        <v>204</v>
      </c>
      <c r="C44" s="13" t="s">
        <v>150</v>
      </c>
      <c r="D44" s="30"/>
      <c r="E44" s="30" t="s">
        <v>37</v>
      </c>
      <c r="F44" s="24"/>
      <c r="G44" s="24"/>
      <c r="H44" s="24"/>
      <c r="I44" s="24"/>
      <c r="J44" s="24"/>
      <c r="K44" s="24"/>
      <c r="L44" s="24"/>
      <c r="M44" s="24"/>
      <c r="N44" s="24"/>
      <c r="O44" s="24"/>
    </row>
    <row r="45" customFormat="false" ht="16.4" hidden="false" customHeight="false" outlineLevel="0" collapsed="false">
      <c r="A45" s="9" t="s">
        <v>229</v>
      </c>
      <c r="B45" s="13" t="s">
        <v>206</v>
      </c>
      <c r="C45" s="13" t="s">
        <v>36</v>
      </c>
      <c r="D45" s="45" t="s">
        <v>207</v>
      </c>
      <c r="E45" s="30" t="s">
        <v>98</v>
      </c>
      <c r="F45" s="14"/>
      <c r="G45" s="14"/>
      <c r="H45" s="14"/>
      <c r="I45" s="14"/>
      <c r="J45" s="14"/>
      <c r="K45" s="14"/>
      <c r="L45" s="14"/>
      <c r="M45" s="14"/>
      <c r="N45" s="14"/>
      <c r="O45" s="14"/>
    </row>
    <row r="46" customFormat="false" ht="15" hidden="false" customHeight="false" outlineLevel="0" collapsed="false">
      <c r="A46" s="42" t="s">
        <v>230</v>
      </c>
    </row>
    <row r="47" customFormat="false" ht="16.4" hidden="false" customHeight="false" outlineLevel="0" collapsed="false">
      <c r="A47" s="12" t="s">
        <v>231</v>
      </c>
      <c r="B47" s="13" t="s">
        <v>232</v>
      </c>
      <c r="C47" s="13" t="s">
        <v>36</v>
      </c>
      <c r="D47" s="30" t="s">
        <v>193</v>
      </c>
      <c r="E47" s="30" t="s">
        <v>194</v>
      </c>
      <c r="F47" s="14" t="n">
        <v>225</v>
      </c>
      <c r="G47" s="14" t="n">
        <v>225</v>
      </c>
      <c r="H47" s="14" t="n">
        <v>225</v>
      </c>
      <c r="I47" s="14" t="n">
        <v>225</v>
      </c>
      <c r="J47" s="14"/>
      <c r="K47" s="14"/>
      <c r="L47" s="14"/>
      <c r="M47" s="14"/>
      <c r="N47" s="14"/>
      <c r="O47" s="14"/>
    </row>
    <row r="48" customFormat="false" ht="31.3" hidden="false" customHeight="false" outlineLevel="0" collapsed="false">
      <c r="A48" s="12" t="s">
        <v>233</v>
      </c>
      <c r="B48" s="13" t="s">
        <v>234</v>
      </c>
      <c r="C48" s="13" t="s">
        <v>36</v>
      </c>
      <c r="D48" s="30" t="s">
        <v>197</v>
      </c>
      <c r="E48" s="30" t="s">
        <v>194</v>
      </c>
      <c r="F48" s="14" t="n">
        <v>50</v>
      </c>
      <c r="G48" s="14" t="n">
        <v>50</v>
      </c>
      <c r="H48" s="14" t="n">
        <v>50</v>
      </c>
      <c r="I48" s="14" t="n">
        <v>50</v>
      </c>
      <c r="J48" s="14"/>
      <c r="K48" s="14"/>
      <c r="L48" s="14"/>
      <c r="M48" s="14"/>
      <c r="N48" s="14"/>
      <c r="O48" s="14"/>
    </row>
    <row r="49" customFormat="false" ht="16.4" hidden="false" customHeight="false" outlineLevel="0" collapsed="false">
      <c r="A49" s="12" t="s">
        <v>235</v>
      </c>
      <c r="B49" s="13" t="s">
        <v>236</v>
      </c>
      <c r="C49" s="13" t="s">
        <v>150</v>
      </c>
      <c r="D49" s="35"/>
      <c r="E49" s="30" t="s">
        <v>37</v>
      </c>
      <c r="F49" s="14" t="n">
        <v>3</v>
      </c>
      <c r="G49" s="14" t="n">
        <v>3</v>
      </c>
      <c r="H49" s="14" t="n">
        <v>3</v>
      </c>
      <c r="I49" s="14" t="n">
        <v>3</v>
      </c>
      <c r="J49" s="14"/>
      <c r="K49" s="14"/>
      <c r="L49" s="14"/>
      <c r="M49" s="14"/>
      <c r="N49" s="14"/>
      <c r="O49" s="14"/>
    </row>
    <row r="50" customFormat="false" ht="16.4" hidden="false" customHeight="false" outlineLevel="0" collapsed="false">
      <c r="A50" s="12" t="s">
        <v>237</v>
      </c>
      <c r="B50" s="13" t="s">
        <v>201</v>
      </c>
      <c r="C50" s="13"/>
      <c r="D50" s="30" t="s">
        <v>202</v>
      </c>
      <c r="E50" s="30" t="s">
        <v>37</v>
      </c>
      <c r="F50" s="14" t="n">
        <v>0.64</v>
      </c>
      <c r="G50" s="14" t="n">
        <v>0.64</v>
      </c>
      <c r="H50" s="14" t="n">
        <v>0.64</v>
      </c>
      <c r="I50" s="14" t="n">
        <v>0.64</v>
      </c>
      <c r="J50" s="14"/>
      <c r="K50" s="14"/>
      <c r="L50" s="14"/>
      <c r="M50" s="14"/>
      <c r="N50" s="14"/>
      <c r="O50" s="14"/>
    </row>
    <row r="51" customFormat="false" ht="16.4" hidden="false" customHeight="false" outlineLevel="0" collapsed="false">
      <c r="A51" s="12" t="s">
        <v>238</v>
      </c>
      <c r="B51" s="13" t="s">
        <v>204</v>
      </c>
      <c r="C51" s="13" t="s">
        <v>150</v>
      </c>
      <c r="D51" s="30"/>
      <c r="E51" s="30" t="s">
        <v>37</v>
      </c>
      <c r="F51" s="14" t="n">
        <f aca="false">18/0.23</f>
        <v>78.2608695652174</v>
      </c>
      <c r="G51" s="14" t="n">
        <f aca="false">18/0.23</f>
        <v>78.2608695652174</v>
      </c>
      <c r="H51" s="14" t="n">
        <f aca="false">18/0.23</f>
        <v>78.2608695652174</v>
      </c>
      <c r="I51" s="14" t="n">
        <f aca="false">18/0.23</f>
        <v>78.2608695652174</v>
      </c>
      <c r="J51" s="14"/>
      <c r="K51" s="14"/>
      <c r="L51" s="14"/>
      <c r="M51" s="14"/>
      <c r="N51" s="14"/>
      <c r="O51" s="14"/>
    </row>
    <row r="52" customFormat="false" ht="16.4" hidden="false" customHeight="false" outlineLevel="0" collapsed="false">
      <c r="A52" s="12" t="s">
        <v>239</v>
      </c>
      <c r="B52" s="13" t="s">
        <v>206</v>
      </c>
      <c r="C52" s="13" t="s">
        <v>36</v>
      </c>
      <c r="D52" s="45" t="s">
        <v>207</v>
      </c>
      <c r="E52" s="30" t="s">
        <v>98</v>
      </c>
      <c r="F52" s="14"/>
      <c r="G52" s="14"/>
      <c r="H52" s="14"/>
      <c r="I52" s="14"/>
      <c r="J52" s="14"/>
      <c r="K52" s="14"/>
      <c r="L52" s="14"/>
      <c r="M52" s="14"/>
      <c r="N52" s="14"/>
      <c r="O52" s="14"/>
    </row>
    <row r="53" customFormat="false" ht="15" hidden="false" customHeight="false" outlineLevel="0" collapsed="false">
      <c r="A53" s="42" t="s">
        <v>240</v>
      </c>
      <c r="F53" s="47"/>
      <c r="G53" s="47"/>
      <c r="H53" s="47"/>
      <c r="I53" s="47"/>
      <c r="J53" s="47"/>
      <c r="K53" s="47"/>
      <c r="L53" s="47"/>
      <c r="M53" s="47"/>
      <c r="N53" s="47"/>
      <c r="O53" s="47"/>
    </row>
    <row r="54" customFormat="false" ht="16.4" hidden="false" customHeight="false" outlineLevel="0" collapsed="false">
      <c r="A54" s="12" t="s">
        <v>241</v>
      </c>
      <c r="B54" s="13" t="s">
        <v>232</v>
      </c>
      <c r="C54" s="13" t="s">
        <v>36</v>
      </c>
      <c r="D54" s="30" t="s">
        <v>193</v>
      </c>
      <c r="E54" s="30" t="s">
        <v>194</v>
      </c>
      <c r="F54" s="14" t="n">
        <v>45</v>
      </c>
      <c r="G54" s="14" t="n">
        <v>45</v>
      </c>
      <c r="H54" s="14" t="n">
        <v>45</v>
      </c>
      <c r="I54" s="14" t="n">
        <v>45</v>
      </c>
      <c r="J54" s="14"/>
      <c r="K54" s="14"/>
      <c r="L54" s="14"/>
      <c r="M54" s="14"/>
      <c r="N54" s="14"/>
      <c r="O54" s="14"/>
    </row>
    <row r="55" customFormat="false" ht="31.3" hidden="false" customHeight="false" outlineLevel="0" collapsed="false">
      <c r="A55" s="12" t="s">
        <v>242</v>
      </c>
      <c r="B55" s="13" t="s">
        <v>234</v>
      </c>
      <c r="C55" s="13" t="s">
        <v>36</v>
      </c>
      <c r="D55" s="30" t="s">
        <v>197</v>
      </c>
      <c r="E55" s="30" t="s">
        <v>194</v>
      </c>
      <c r="F55" s="14" t="n">
        <v>50</v>
      </c>
      <c r="G55" s="14" t="n">
        <v>50</v>
      </c>
      <c r="H55" s="14" t="n">
        <v>50</v>
      </c>
      <c r="I55" s="14" t="n">
        <v>50</v>
      </c>
      <c r="J55" s="14"/>
      <c r="K55" s="14"/>
      <c r="L55" s="14"/>
      <c r="M55" s="14"/>
      <c r="N55" s="14"/>
      <c r="O55" s="14"/>
    </row>
    <row r="56" customFormat="false" ht="16.4" hidden="false" customHeight="false" outlineLevel="0" collapsed="false">
      <c r="A56" s="12" t="s">
        <v>243</v>
      </c>
      <c r="B56" s="13" t="s">
        <v>236</v>
      </c>
      <c r="C56" s="13" t="s">
        <v>150</v>
      </c>
      <c r="D56" s="35"/>
      <c r="E56" s="30" t="s">
        <v>37</v>
      </c>
      <c r="F56" s="14" t="n">
        <v>50</v>
      </c>
      <c r="G56" s="14" t="n">
        <v>50</v>
      </c>
      <c r="H56" s="14" t="n">
        <v>50</v>
      </c>
      <c r="I56" s="14" t="n">
        <v>50</v>
      </c>
      <c r="J56" s="14"/>
      <c r="K56" s="14"/>
      <c r="L56" s="14"/>
      <c r="M56" s="14"/>
      <c r="N56" s="14"/>
      <c r="O56" s="14"/>
    </row>
    <row r="57" customFormat="false" ht="16.4" hidden="false" customHeight="false" outlineLevel="0" collapsed="false">
      <c r="A57" s="12" t="s">
        <v>244</v>
      </c>
      <c r="B57" s="13" t="s">
        <v>201</v>
      </c>
      <c r="C57" s="13"/>
      <c r="D57" s="30" t="s">
        <v>202</v>
      </c>
      <c r="E57" s="30" t="s">
        <v>37</v>
      </c>
      <c r="F57" s="14" t="n">
        <v>0.64</v>
      </c>
      <c r="G57" s="14" t="n">
        <v>0.64</v>
      </c>
      <c r="H57" s="14" t="n">
        <v>0.64</v>
      </c>
      <c r="I57" s="14" t="n">
        <v>0.64</v>
      </c>
      <c r="J57" s="14"/>
      <c r="K57" s="14"/>
      <c r="L57" s="14"/>
      <c r="M57" s="14"/>
      <c r="N57" s="14"/>
      <c r="O57" s="14"/>
    </row>
    <row r="58" customFormat="false" ht="16.4" hidden="false" customHeight="false" outlineLevel="0" collapsed="false">
      <c r="A58" s="12" t="s">
        <v>245</v>
      </c>
      <c r="B58" s="13" t="s">
        <v>204</v>
      </c>
      <c r="C58" s="13" t="s">
        <v>150</v>
      </c>
      <c r="D58" s="30"/>
      <c r="E58" s="30" t="s">
        <v>37</v>
      </c>
      <c r="F58" s="14" t="n">
        <f aca="false">6/0.23</f>
        <v>26.0869565217391</v>
      </c>
      <c r="G58" s="14" t="n">
        <f aca="false">6/0.23</f>
        <v>26.0869565217391</v>
      </c>
      <c r="H58" s="14" t="n">
        <f aca="false">6/0.23</f>
        <v>26.0869565217391</v>
      </c>
      <c r="I58" s="14" t="n">
        <f aca="false">6/0.23</f>
        <v>26.0869565217391</v>
      </c>
      <c r="J58" s="14"/>
      <c r="K58" s="14"/>
      <c r="L58" s="14"/>
      <c r="M58" s="14"/>
      <c r="N58" s="14"/>
      <c r="O58" s="14"/>
    </row>
    <row r="59" customFormat="false" ht="16.4" hidden="false" customHeight="false" outlineLevel="0" collapsed="false">
      <c r="A59" s="12" t="s">
        <v>246</v>
      </c>
      <c r="B59" s="13" t="s">
        <v>206</v>
      </c>
      <c r="C59" s="13" t="s">
        <v>36</v>
      </c>
      <c r="D59" s="45" t="s">
        <v>207</v>
      </c>
      <c r="E59" s="30" t="s">
        <v>98</v>
      </c>
      <c r="F59" s="14"/>
      <c r="G59" s="14"/>
      <c r="H59" s="14"/>
      <c r="I59" s="14"/>
      <c r="J59" s="14"/>
      <c r="K59" s="14"/>
      <c r="L59" s="14"/>
      <c r="M59" s="14"/>
      <c r="N59" s="14"/>
      <c r="O59" s="14"/>
    </row>
    <row r="60" customFormat="false" ht="15" hidden="false" customHeight="false" outlineLevel="0" collapsed="false">
      <c r="A60" s="42" t="s">
        <v>247</v>
      </c>
      <c r="B60" s="46"/>
      <c r="C60" s="46"/>
      <c r="D60" s="48"/>
      <c r="E60" s="48"/>
      <c r="F60" s="47"/>
      <c r="G60" s="47"/>
      <c r="H60" s="47"/>
      <c r="I60" s="47"/>
      <c r="J60" s="47"/>
      <c r="K60" s="47"/>
      <c r="L60" s="47"/>
      <c r="M60" s="47"/>
      <c r="N60" s="47"/>
      <c r="O60" s="47"/>
    </row>
    <row r="61" customFormat="false" ht="16.4" hidden="false" customHeight="false" outlineLevel="0" collapsed="false">
      <c r="A61" s="9" t="s">
        <v>248</v>
      </c>
      <c r="B61" s="13" t="s">
        <v>232</v>
      </c>
      <c r="C61" s="13" t="s">
        <v>36</v>
      </c>
      <c r="D61" s="30" t="s">
        <v>193</v>
      </c>
      <c r="E61" s="30" t="s">
        <v>194</v>
      </c>
      <c r="F61" s="38"/>
      <c r="G61" s="38"/>
      <c r="H61" s="38"/>
      <c r="I61" s="38"/>
      <c r="J61" s="38"/>
      <c r="K61" s="38"/>
      <c r="L61" s="38"/>
      <c r="M61" s="38"/>
      <c r="N61" s="38"/>
      <c r="O61" s="38"/>
    </row>
    <row r="62" customFormat="false" ht="31.3" hidden="false" customHeight="false" outlineLevel="0" collapsed="false">
      <c r="A62" s="40" t="s">
        <v>249</v>
      </c>
      <c r="B62" s="13" t="s">
        <v>234</v>
      </c>
      <c r="C62" s="13" t="s">
        <v>36</v>
      </c>
      <c r="D62" s="30" t="s">
        <v>197</v>
      </c>
      <c r="E62" s="30" t="s">
        <v>194</v>
      </c>
      <c r="F62" s="38"/>
      <c r="G62" s="38"/>
      <c r="H62" s="38"/>
      <c r="I62" s="38"/>
      <c r="J62" s="38"/>
      <c r="K62" s="38"/>
      <c r="L62" s="38"/>
      <c r="M62" s="38"/>
      <c r="N62" s="38"/>
      <c r="O62" s="38"/>
    </row>
    <row r="63" customFormat="false" ht="16.4" hidden="false" customHeight="false" outlineLevel="0" collapsed="false">
      <c r="A63" s="9" t="s">
        <v>250</v>
      </c>
      <c r="B63" s="13" t="s">
        <v>236</v>
      </c>
      <c r="C63" s="13" t="s">
        <v>150</v>
      </c>
      <c r="D63" s="35"/>
      <c r="E63" s="30" t="s">
        <v>37</v>
      </c>
      <c r="F63" s="38"/>
      <c r="G63" s="38"/>
      <c r="H63" s="38"/>
      <c r="I63" s="38"/>
      <c r="J63" s="38"/>
      <c r="K63" s="38"/>
      <c r="L63" s="38"/>
      <c r="M63" s="38"/>
      <c r="N63" s="38"/>
      <c r="O63" s="38"/>
    </row>
    <row r="64" customFormat="false" ht="16.4" hidden="false" customHeight="false" outlineLevel="0" collapsed="false">
      <c r="A64" s="9" t="s">
        <v>251</v>
      </c>
      <c r="B64" s="13" t="s">
        <v>201</v>
      </c>
      <c r="C64" s="13"/>
      <c r="D64" s="30" t="s">
        <v>202</v>
      </c>
      <c r="E64" s="30" t="s">
        <v>37</v>
      </c>
      <c r="F64" s="24"/>
      <c r="G64" s="24"/>
      <c r="H64" s="24"/>
      <c r="I64" s="24"/>
      <c r="J64" s="24"/>
      <c r="K64" s="24"/>
      <c r="L64" s="24"/>
      <c r="M64" s="24"/>
      <c r="N64" s="24"/>
      <c r="O64" s="24"/>
    </row>
    <row r="65" customFormat="false" ht="16.4" hidden="false" customHeight="false" outlineLevel="0" collapsed="false">
      <c r="A65" s="9" t="s">
        <v>252</v>
      </c>
      <c r="B65" s="13" t="s">
        <v>204</v>
      </c>
      <c r="C65" s="13" t="s">
        <v>150</v>
      </c>
      <c r="D65" s="30"/>
      <c r="E65" s="30" t="s">
        <v>37</v>
      </c>
      <c r="F65" s="24"/>
      <c r="G65" s="24"/>
      <c r="H65" s="24"/>
      <c r="I65" s="24"/>
      <c r="J65" s="24"/>
      <c r="K65" s="24"/>
      <c r="L65" s="24"/>
      <c r="M65" s="24"/>
      <c r="N65" s="24"/>
      <c r="O65" s="24"/>
    </row>
    <row r="66" customFormat="false" ht="16.4" hidden="false" customHeight="false" outlineLevel="0" collapsed="false">
      <c r="A66" s="9" t="s">
        <v>253</v>
      </c>
      <c r="B66" s="13" t="s">
        <v>206</v>
      </c>
      <c r="C66" s="13" t="s">
        <v>36</v>
      </c>
      <c r="D66" s="45" t="s">
        <v>207</v>
      </c>
      <c r="E66" s="30" t="s">
        <v>98</v>
      </c>
      <c r="F66" s="24"/>
      <c r="G66" s="24"/>
      <c r="H66" s="24"/>
      <c r="I66" s="24"/>
      <c r="J66" s="24"/>
      <c r="K66" s="24"/>
      <c r="L66" s="24"/>
      <c r="M66" s="24"/>
      <c r="N66" s="24"/>
      <c r="O66" s="24"/>
    </row>
    <row r="67" customFormat="false" ht="15" hidden="false" customHeight="false" outlineLevel="0" collapsed="false">
      <c r="A67" s="42" t="s">
        <v>254</v>
      </c>
    </row>
    <row r="68" customFormat="false" ht="16.4" hidden="false" customHeight="false" outlineLevel="0" collapsed="false">
      <c r="A68" s="9" t="s">
        <v>255</v>
      </c>
      <c r="B68" s="13" t="s">
        <v>232</v>
      </c>
      <c r="C68" s="13" t="s">
        <v>36</v>
      </c>
      <c r="D68" s="30" t="s">
        <v>193</v>
      </c>
      <c r="E68" s="30" t="s">
        <v>194</v>
      </c>
      <c r="F68" s="38"/>
      <c r="G68" s="38"/>
      <c r="H68" s="38"/>
      <c r="I68" s="38"/>
      <c r="J68" s="38"/>
      <c r="K68" s="38"/>
      <c r="L68" s="38"/>
      <c r="M68" s="38"/>
      <c r="N68" s="38"/>
      <c r="O68" s="38"/>
    </row>
    <row r="69" customFormat="false" ht="31.3" hidden="false" customHeight="false" outlineLevel="0" collapsed="false">
      <c r="A69" s="40" t="s">
        <v>256</v>
      </c>
      <c r="B69" s="13" t="s">
        <v>234</v>
      </c>
      <c r="C69" s="13" t="s">
        <v>36</v>
      </c>
      <c r="D69" s="30" t="s">
        <v>197</v>
      </c>
      <c r="E69" s="30" t="s">
        <v>194</v>
      </c>
      <c r="F69" s="38"/>
      <c r="G69" s="38"/>
      <c r="H69" s="38"/>
      <c r="I69" s="38"/>
      <c r="J69" s="38"/>
      <c r="K69" s="38"/>
      <c r="L69" s="38"/>
      <c r="M69" s="38"/>
      <c r="N69" s="38"/>
      <c r="O69" s="38"/>
    </row>
    <row r="70" customFormat="false" ht="16.4" hidden="false" customHeight="false" outlineLevel="0" collapsed="false">
      <c r="A70" s="9" t="s">
        <v>257</v>
      </c>
      <c r="B70" s="13" t="s">
        <v>236</v>
      </c>
      <c r="C70" s="13" t="s">
        <v>150</v>
      </c>
      <c r="D70" s="35"/>
      <c r="E70" s="30" t="s">
        <v>37</v>
      </c>
      <c r="F70" s="38"/>
      <c r="G70" s="38"/>
      <c r="H70" s="38"/>
      <c r="I70" s="38"/>
      <c r="J70" s="38"/>
      <c r="K70" s="38"/>
      <c r="L70" s="38"/>
      <c r="M70" s="38"/>
      <c r="N70" s="38"/>
      <c r="O70" s="38"/>
    </row>
    <row r="71" customFormat="false" ht="16.4" hidden="false" customHeight="false" outlineLevel="0" collapsed="false">
      <c r="A71" s="9" t="s">
        <v>258</v>
      </c>
      <c r="B71" s="13" t="s">
        <v>201</v>
      </c>
      <c r="C71" s="13"/>
      <c r="D71" s="30" t="s">
        <v>202</v>
      </c>
      <c r="E71" s="30" t="s">
        <v>37</v>
      </c>
      <c r="F71" s="24"/>
      <c r="G71" s="24"/>
      <c r="H71" s="24"/>
      <c r="I71" s="24"/>
      <c r="J71" s="24"/>
      <c r="K71" s="24"/>
      <c r="L71" s="24"/>
      <c r="M71" s="24"/>
      <c r="N71" s="24"/>
      <c r="O71" s="24"/>
    </row>
    <row r="72" customFormat="false" ht="16.4" hidden="false" customHeight="false" outlineLevel="0" collapsed="false">
      <c r="A72" s="9" t="s">
        <v>259</v>
      </c>
      <c r="B72" s="13" t="s">
        <v>204</v>
      </c>
      <c r="C72" s="13" t="s">
        <v>150</v>
      </c>
      <c r="D72" s="30"/>
      <c r="E72" s="30" t="s">
        <v>37</v>
      </c>
      <c r="F72" s="24"/>
      <c r="G72" s="24"/>
      <c r="H72" s="24"/>
      <c r="I72" s="24"/>
      <c r="J72" s="24"/>
      <c r="K72" s="24"/>
      <c r="L72" s="24"/>
      <c r="M72" s="24"/>
      <c r="N72" s="24"/>
      <c r="O72" s="24"/>
    </row>
    <row r="73" customFormat="false" ht="16.4" hidden="false" customHeight="false" outlineLevel="0" collapsed="false">
      <c r="A73" s="9" t="s">
        <v>260</v>
      </c>
      <c r="B73" s="13" t="s">
        <v>206</v>
      </c>
      <c r="C73" s="13" t="s">
        <v>36</v>
      </c>
      <c r="D73" s="45" t="s">
        <v>207</v>
      </c>
      <c r="E73" s="30" t="s">
        <v>98</v>
      </c>
      <c r="F73" s="24"/>
      <c r="G73" s="24"/>
      <c r="H73" s="24"/>
      <c r="I73" s="24"/>
      <c r="J73" s="24"/>
      <c r="K73" s="24"/>
      <c r="L73" s="24"/>
      <c r="M73" s="24"/>
      <c r="N73" s="24"/>
      <c r="O73" s="24"/>
    </row>
  </sheetData>
  <dataValidations count="1">
    <dataValidation allowBlank="true" errorStyle="stop" operator="between" showDropDown="false" showErrorMessage="true" showInputMessage="true" sqref="F4:O4" type="list">
      <formula1>Definitions!$A$2:$A$3</formula1>
      <formula2>0</formula2>
    </dataValidation>
  </dataValidations>
  <hyperlinks>
    <hyperlink ref="D24" r:id="rId1" location="ref-2-using-horizon-information" display="see PVGIS documentation on 'userhorizon'"/>
    <hyperlink ref="D31" r:id="rId2" location="ref-2-using-horizon-information" display="see PVGIS documentation on 'userhorizon'"/>
    <hyperlink ref="D38" r:id="rId3" location="ref-2-using-horizon-information" display="see PVGIS documentation on 'userhorizon'"/>
    <hyperlink ref="D45" r:id="rId4" location="ref-2-using-horizon-information" display="see PVGIS documentation on 'userhorizon'"/>
    <hyperlink ref="D52" r:id="rId5" location="ref-2-using-horizon-information" display="see PVGIS documentation on 'userhorizon'"/>
    <hyperlink ref="D59" r:id="rId6" location="ref-2-using-horizon-information" display="see PVGIS documentation on 'userhorizon'"/>
    <hyperlink ref="D66" r:id="rId7" location="ref-2-using-horizon-information" display="see PVGIS documentation on 'userhorizon'"/>
    <hyperlink ref="D73" r:id="rId8" location="ref-2-using-horizon-information" display="see PVGIS documentation on 'userhorizon'"/>
  </hyperlink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EA72E"/>
    <pageSetUpPr fitToPage="false"/>
  </sheetPr>
  <dimension ref="A1:O1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46" activePane="bottomLeft" state="frozen"/>
      <selection pane="topLeft" activeCell="A1" activeCellId="0" sqref="A1"/>
      <selection pane="bottomLeft" activeCell="D55" activeCellId="0" sqref="D55"/>
    </sheetView>
  </sheetViews>
  <sheetFormatPr defaultColWidth="10.59765625" defaultRowHeight="15" zeroHeight="false" outlineLevelRow="0" outlineLevelCol="0"/>
  <cols>
    <col collapsed="false" customWidth="true" hidden="false" outlineLevel="0" max="1" min="1" style="0" width="29"/>
    <col collapsed="false" customWidth="true" hidden="false" outlineLevel="0" max="2" min="2" style="0" width="23.28"/>
    <col collapsed="false" customWidth="true" hidden="false" outlineLevel="0" max="3" min="3" style="0" width="16.72"/>
    <col collapsed="false" customWidth="true" hidden="false" outlineLevel="0" max="4" min="4" style="0" width="32.86"/>
    <col collapsed="false" customWidth="true" hidden="false" outlineLevel="0" max="5" min="5" style="0" width="11"/>
  </cols>
  <sheetData>
    <row r="1" customFormat="false" ht="15" hidden="false" customHeight="false" outlineLevel="0" collapsed="false">
      <c r="A1" s="6" t="str">
        <f aca="false">Location!A1</f>
        <v>PARAMETERS</v>
      </c>
      <c r="B1" s="6"/>
      <c r="C1" s="6"/>
      <c r="D1" s="6"/>
      <c r="E1" s="6"/>
      <c r="F1" s="6" t="str">
        <f aca="false">Location!F1</f>
        <v>SCENARIO VALUES</v>
      </c>
      <c r="G1" s="6"/>
      <c r="H1" s="6"/>
      <c r="I1" s="6"/>
    </row>
    <row r="2" customFormat="false" ht="15" hidden="false" customHeight="false" outlineLevel="0" collapsed="false">
      <c r="A2" s="9" t="s">
        <v>25</v>
      </c>
      <c r="B2" s="10" t="s">
        <v>26</v>
      </c>
      <c r="C2" s="10" t="s">
        <v>27</v>
      </c>
      <c r="D2" s="10" t="s">
        <v>28</v>
      </c>
      <c r="E2" s="10" t="s">
        <v>29</v>
      </c>
      <c r="F2" s="11" t="str">
        <f aca="false">Location!F2</f>
        <v>BAU</v>
      </c>
      <c r="G2" s="11" t="str">
        <f aca="false">Location!G2</f>
        <v>PV + HP</v>
      </c>
      <c r="H2" s="11" t="str">
        <f aca="false">Location!H2</f>
        <v>Refurbished</v>
      </c>
      <c r="I2" s="11" t="str">
        <f aca="false">Location!I2</f>
        <v>Flex</v>
      </c>
      <c r="J2" s="11"/>
      <c r="K2" s="11"/>
      <c r="L2" s="11"/>
      <c r="M2" s="11"/>
      <c r="N2" s="11"/>
      <c r="O2" s="11"/>
    </row>
    <row r="3" customFormat="false" ht="15" hidden="false" customHeight="false" outlineLevel="0" collapsed="false">
      <c r="A3" s="18" t="s">
        <v>261</v>
      </c>
    </row>
    <row r="4" customFormat="false" ht="16.4" hidden="false" customHeight="false" outlineLevel="0" collapsed="false">
      <c r="A4" s="12" t="s">
        <v>262</v>
      </c>
      <c r="B4" s="13" t="s">
        <v>263</v>
      </c>
      <c r="C4" s="13" t="s">
        <v>62</v>
      </c>
      <c r="D4" s="30" t="s">
        <v>264</v>
      </c>
      <c r="E4" s="30" t="s">
        <v>98</v>
      </c>
      <c r="F4" s="14" t="s">
        <v>265</v>
      </c>
      <c r="G4" s="14" t="s">
        <v>265</v>
      </c>
      <c r="H4" s="14" t="s">
        <v>265</v>
      </c>
      <c r="I4" s="14" t="s">
        <v>265</v>
      </c>
      <c r="J4" s="14"/>
      <c r="K4" s="14"/>
      <c r="L4" s="14"/>
      <c r="M4" s="14"/>
      <c r="N4" s="14"/>
      <c r="O4" s="14"/>
    </row>
    <row r="5" customFormat="false" ht="16.4" hidden="false" customHeight="false" outlineLevel="0" collapsed="false">
      <c r="A5" s="9" t="s">
        <v>266</v>
      </c>
      <c r="B5" s="13" t="s">
        <v>267</v>
      </c>
      <c r="C5" s="13" t="s">
        <v>268</v>
      </c>
      <c r="D5" s="30" t="s">
        <v>269</v>
      </c>
      <c r="E5" s="30" t="s">
        <v>37</v>
      </c>
      <c r="F5" s="49" t="n">
        <v>0.23</v>
      </c>
      <c r="G5" s="49" t="n">
        <v>0.23</v>
      </c>
      <c r="H5" s="49" t="n">
        <v>0.23</v>
      </c>
      <c r="I5" s="49" t="n">
        <v>0.23</v>
      </c>
      <c r="J5" s="49"/>
      <c r="K5" s="49"/>
      <c r="L5" s="49"/>
      <c r="M5" s="49"/>
      <c r="N5" s="49"/>
      <c r="O5" s="49"/>
    </row>
    <row r="6" customFormat="false" ht="16.4" hidden="false" customHeight="false" outlineLevel="0" collapsed="false">
      <c r="A6" s="9" t="s">
        <v>270</v>
      </c>
      <c r="B6" s="13" t="s">
        <v>271</v>
      </c>
      <c r="C6" s="13" t="s">
        <v>272</v>
      </c>
      <c r="D6" s="30" t="s">
        <v>273</v>
      </c>
      <c r="E6" s="30" t="s">
        <v>194</v>
      </c>
      <c r="F6" s="24" t="n">
        <v>25</v>
      </c>
      <c r="G6" s="24" t="n">
        <v>25</v>
      </c>
      <c r="H6" s="24" t="n">
        <v>25</v>
      </c>
      <c r="I6" s="24" t="n">
        <v>25</v>
      </c>
      <c r="J6" s="24"/>
      <c r="K6" s="24"/>
      <c r="L6" s="24"/>
      <c r="M6" s="24"/>
      <c r="N6" s="24"/>
      <c r="O6" s="24"/>
    </row>
    <row r="7" customFormat="false" ht="16.4" hidden="false" customHeight="false" outlineLevel="0" collapsed="false">
      <c r="A7" s="9" t="s">
        <v>274</v>
      </c>
      <c r="B7" s="13" t="s">
        <v>275</v>
      </c>
      <c r="C7" s="13" t="s">
        <v>276</v>
      </c>
      <c r="D7" s="30" t="s">
        <v>277</v>
      </c>
      <c r="E7" s="30" t="s">
        <v>37</v>
      </c>
      <c r="F7" s="24" t="n">
        <v>870</v>
      </c>
      <c r="G7" s="24" t="n">
        <v>870</v>
      </c>
      <c r="H7" s="24" t="n">
        <v>870</v>
      </c>
      <c r="I7" s="24" t="n">
        <v>870</v>
      </c>
      <c r="J7" s="24"/>
      <c r="K7" s="24"/>
      <c r="L7" s="24"/>
      <c r="M7" s="24"/>
      <c r="N7" s="24"/>
      <c r="O7" s="24"/>
    </row>
    <row r="8" customFormat="false" ht="16.4" hidden="false" customHeight="false" outlineLevel="0" collapsed="false">
      <c r="A8" s="9" t="s">
        <v>278</v>
      </c>
      <c r="B8" s="13" t="s">
        <v>279</v>
      </c>
      <c r="C8" s="13" t="s">
        <v>280</v>
      </c>
      <c r="D8" s="30"/>
      <c r="E8" s="30" t="s">
        <v>37</v>
      </c>
      <c r="F8" s="24" t="n">
        <v>5000</v>
      </c>
      <c r="G8" s="24" t="n">
        <v>5000</v>
      </c>
      <c r="H8" s="24" t="n">
        <v>5000</v>
      </c>
      <c r="I8" s="24" t="n">
        <v>5000</v>
      </c>
      <c r="J8" s="24"/>
      <c r="K8" s="24"/>
      <c r="L8" s="24"/>
      <c r="M8" s="24"/>
      <c r="N8" s="24"/>
      <c r="O8" s="24"/>
    </row>
    <row r="9" customFormat="false" ht="31.3" hidden="false" customHeight="false" outlineLevel="0" collapsed="false">
      <c r="A9" s="9" t="s">
        <v>281</v>
      </c>
      <c r="B9" s="13" t="s">
        <v>282</v>
      </c>
      <c r="C9" s="13" t="s">
        <v>283</v>
      </c>
      <c r="D9" s="30" t="s">
        <v>284</v>
      </c>
      <c r="E9" s="30" t="s">
        <v>37</v>
      </c>
      <c r="F9" s="24" t="n">
        <v>12000</v>
      </c>
      <c r="G9" s="24" t="n">
        <v>12000</v>
      </c>
      <c r="H9" s="24" t="n">
        <v>12000</v>
      </c>
      <c r="I9" s="24" t="n">
        <v>12000</v>
      </c>
      <c r="J9" s="24"/>
      <c r="K9" s="24"/>
      <c r="L9" s="24"/>
      <c r="M9" s="24"/>
      <c r="N9" s="24"/>
      <c r="O9" s="24"/>
    </row>
    <row r="10" customFormat="false" ht="16.4" hidden="false" customHeight="false" outlineLevel="0" collapsed="false">
      <c r="A10" s="9" t="s">
        <v>285</v>
      </c>
      <c r="B10" s="13" t="s">
        <v>286</v>
      </c>
      <c r="C10" s="13" t="s">
        <v>287</v>
      </c>
      <c r="D10" s="30" t="s">
        <v>288</v>
      </c>
      <c r="E10" s="30" t="s">
        <v>37</v>
      </c>
      <c r="F10" s="24" t="n">
        <v>0</v>
      </c>
      <c r="G10" s="24" t="n">
        <v>0</v>
      </c>
      <c r="H10" s="24" t="n">
        <v>0</v>
      </c>
      <c r="I10" s="24" t="n">
        <v>0</v>
      </c>
      <c r="J10" s="24"/>
      <c r="K10" s="24"/>
      <c r="L10" s="24"/>
      <c r="M10" s="24"/>
      <c r="N10" s="24"/>
      <c r="O10" s="24"/>
    </row>
    <row r="11" customFormat="false" ht="46.25" hidden="false" customHeight="false" outlineLevel="0" collapsed="false">
      <c r="A11" s="12" t="s">
        <v>289</v>
      </c>
      <c r="B11" s="13" t="s">
        <v>290</v>
      </c>
      <c r="C11" s="13" t="s">
        <v>291</v>
      </c>
      <c r="D11" s="30" t="s">
        <v>292</v>
      </c>
      <c r="E11" s="30" t="s">
        <v>37</v>
      </c>
      <c r="F11" s="24" t="n">
        <v>0</v>
      </c>
      <c r="G11" s="24" t="n">
        <v>21.6</v>
      </c>
      <c r="H11" s="24" t="n">
        <v>21.6</v>
      </c>
      <c r="I11" s="24" t="n">
        <v>21.6</v>
      </c>
      <c r="J11" s="24"/>
      <c r="K11" s="24"/>
      <c r="L11" s="24"/>
      <c r="M11" s="24"/>
      <c r="N11" s="24"/>
      <c r="O11" s="24"/>
    </row>
    <row r="12" customFormat="false" ht="16.4" hidden="false" customHeight="false" outlineLevel="0" collapsed="false">
      <c r="A12" s="9" t="s">
        <v>293</v>
      </c>
      <c r="B12" s="13" t="s">
        <v>294</v>
      </c>
      <c r="C12" s="13" t="s">
        <v>291</v>
      </c>
      <c r="D12" s="30"/>
      <c r="E12" s="30" t="s">
        <v>37</v>
      </c>
      <c r="F12" s="24" t="n">
        <v>0</v>
      </c>
      <c r="G12" s="24" t="n">
        <v>17.8</v>
      </c>
      <c r="H12" s="24" t="n">
        <v>17.8</v>
      </c>
      <c r="I12" s="24" t="n">
        <v>17.8</v>
      </c>
      <c r="J12" s="24"/>
      <c r="K12" s="24"/>
      <c r="L12" s="24"/>
      <c r="M12" s="24"/>
      <c r="N12" s="24"/>
      <c r="O12" s="24"/>
    </row>
    <row r="13" customFormat="false" ht="16.4" hidden="false" customHeight="false" outlineLevel="0" collapsed="false">
      <c r="A13" s="9" t="s">
        <v>295</v>
      </c>
      <c r="B13" s="13" t="s">
        <v>296</v>
      </c>
      <c r="C13" s="13" t="s">
        <v>297</v>
      </c>
      <c r="D13" s="30" t="s">
        <v>181</v>
      </c>
      <c r="E13" s="30" t="s">
        <v>37</v>
      </c>
      <c r="F13" s="24" t="n">
        <v>800</v>
      </c>
      <c r="G13" s="24" t="n">
        <v>800</v>
      </c>
      <c r="H13" s="24" t="n">
        <v>800</v>
      </c>
      <c r="I13" s="24" t="n">
        <v>800</v>
      </c>
      <c r="J13" s="24"/>
      <c r="K13" s="24"/>
      <c r="L13" s="24"/>
      <c r="M13" s="24"/>
      <c r="N13" s="24"/>
      <c r="O13" s="24"/>
    </row>
    <row r="14" customFormat="false" ht="15" hidden="false" customHeight="false" outlineLevel="0" collapsed="false">
      <c r="A14" s="18" t="s">
        <v>298</v>
      </c>
      <c r="D14" s="33"/>
      <c r="E14" s="33"/>
    </row>
    <row r="15" customFormat="false" ht="16.4" hidden="false" customHeight="false" outlineLevel="0" collapsed="false">
      <c r="A15" s="12" t="s">
        <v>299</v>
      </c>
      <c r="B15" s="13" t="s">
        <v>263</v>
      </c>
      <c r="C15" s="13" t="s">
        <v>62</v>
      </c>
      <c r="D15" s="30" t="s">
        <v>264</v>
      </c>
      <c r="E15" s="30" t="s">
        <v>98</v>
      </c>
      <c r="F15" s="14" t="s">
        <v>265</v>
      </c>
      <c r="G15" s="14" t="s">
        <v>265</v>
      </c>
      <c r="H15" s="14" t="s">
        <v>265</v>
      </c>
      <c r="I15" s="14" t="s">
        <v>265</v>
      </c>
      <c r="J15" s="14"/>
      <c r="K15" s="14"/>
      <c r="L15" s="14"/>
      <c r="M15" s="14"/>
      <c r="N15" s="14"/>
      <c r="O15" s="14"/>
    </row>
    <row r="16" customFormat="false" ht="16.4" hidden="false" customHeight="false" outlineLevel="0" collapsed="false">
      <c r="A16" s="9" t="s">
        <v>300</v>
      </c>
      <c r="B16" s="13" t="s">
        <v>267</v>
      </c>
      <c r="C16" s="13" t="s">
        <v>268</v>
      </c>
      <c r="D16" s="30" t="s">
        <v>269</v>
      </c>
      <c r="E16" s="30" t="s">
        <v>37</v>
      </c>
      <c r="F16" s="49" t="n">
        <v>0.23</v>
      </c>
      <c r="G16" s="49" t="n">
        <v>0.23</v>
      </c>
      <c r="H16" s="49" t="n">
        <v>0.23</v>
      </c>
      <c r="I16" s="49" t="n">
        <v>0.23</v>
      </c>
      <c r="J16" s="49"/>
      <c r="K16" s="49"/>
      <c r="L16" s="49"/>
      <c r="M16" s="49"/>
      <c r="N16" s="49"/>
      <c r="O16" s="49"/>
    </row>
    <row r="17" customFormat="false" ht="16.4" hidden="false" customHeight="false" outlineLevel="0" collapsed="false">
      <c r="A17" s="9" t="s">
        <v>301</v>
      </c>
      <c r="B17" s="13" t="s">
        <v>271</v>
      </c>
      <c r="C17" s="13" t="s">
        <v>272</v>
      </c>
      <c r="D17" s="30" t="s">
        <v>273</v>
      </c>
      <c r="E17" s="30" t="s">
        <v>194</v>
      </c>
      <c r="F17" s="24" t="n">
        <v>25</v>
      </c>
      <c r="G17" s="24" t="n">
        <v>25</v>
      </c>
      <c r="H17" s="24" t="n">
        <v>25</v>
      </c>
      <c r="I17" s="24" t="n">
        <v>25</v>
      </c>
      <c r="J17" s="24"/>
      <c r="K17" s="24"/>
      <c r="L17" s="24"/>
      <c r="M17" s="24"/>
      <c r="N17" s="24"/>
      <c r="O17" s="24"/>
    </row>
    <row r="18" customFormat="false" ht="16.4" hidden="false" customHeight="false" outlineLevel="0" collapsed="false">
      <c r="A18" s="9" t="s">
        <v>302</v>
      </c>
      <c r="B18" s="13" t="s">
        <v>275</v>
      </c>
      <c r="C18" s="13" t="s">
        <v>276</v>
      </c>
      <c r="D18" s="30" t="s">
        <v>277</v>
      </c>
      <c r="E18" s="30" t="s">
        <v>37</v>
      </c>
      <c r="F18" s="24" t="n">
        <v>870</v>
      </c>
      <c r="G18" s="24" t="n">
        <v>870</v>
      </c>
      <c r="H18" s="24" t="n">
        <v>870</v>
      </c>
      <c r="I18" s="24" t="n">
        <v>870</v>
      </c>
      <c r="J18" s="24"/>
      <c r="K18" s="24"/>
      <c r="L18" s="24"/>
      <c r="M18" s="24"/>
      <c r="N18" s="24"/>
      <c r="O18" s="24"/>
    </row>
    <row r="19" customFormat="false" ht="16.4" hidden="false" customHeight="false" outlineLevel="0" collapsed="false">
      <c r="A19" s="9" t="s">
        <v>303</v>
      </c>
      <c r="B19" s="13" t="s">
        <v>279</v>
      </c>
      <c r="C19" s="13" t="s">
        <v>280</v>
      </c>
      <c r="D19" s="30"/>
      <c r="E19" s="30" t="s">
        <v>37</v>
      </c>
      <c r="F19" s="24" t="n">
        <v>1500</v>
      </c>
      <c r="G19" s="24" t="n">
        <v>1500</v>
      </c>
      <c r="H19" s="24" t="n">
        <v>1500</v>
      </c>
      <c r="I19" s="24" t="n">
        <v>1500</v>
      </c>
      <c r="J19" s="24"/>
      <c r="K19" s="24"/>
      <c r="L19" s="24"/>
      <c r="M19" s="24"/>
      <c r="N19" s="24"/>
      <c r="O19" s="24"/>
    </row>
    <row r="20" customFormat="false" ht="31.3" hidden="false" customHeight="false" outlineLevel="0" collapsed="false">
      <c r="A20" s="9" t="s">
        <v>304</v>
      </c>
      <c r="B20" s="13" t="s">
        <v>282</v>
      </c>
      <c r="C20" s="13" t="s">
        <v>283</v>
      </c>
      <c r="D20" s="30" t="s">
        <v>284</v>
      </c>
      <c r="E20" s="30" t="s">
        <v>37</v>
      </c>
      <c r="F20" s="24" t="n">
        <v>0</v>
      </c>
      <c r="G20" s="24" t="n">
        <v>0</v>
      </c>
      <c r="H20" s="24" t="n">
        <v>0</v>
      </c>
      <c r="I20" s="24" t="n">
        <v>0</v>
      </c>
      <c r="J20" s="24"/>
      <c r="K20" s="24"/>
      <c r="L20" s="24"/>
      <c r="M20" s="24"/>
      <c r="N20" s="24"/>
      <c r="O20" s="24"/>
    </row>
    <row r="21" customFormat="false" ht="16.4" hidden="false" customHeight="false" outlineLevel="0" collapsed="false">
      <c r="A21" s="9" t="s">
        <v>305</v>
      </c>
      <c r="B21" s="13" t="s">
        <v>286</v>
      </c>
      <c r="C21" s="13" t="s">
        <v>287</v>
      </c>
      <c r="D21" s="30" t="s">
        <v>288</v>
      </c>
      <c r="E21" s="30" t="s">
        <v>37</v>
      </c>
      <c r="F21" s="24" t="n">
        <v>0</v>
      </c>
      <c r="G21" s="24" t="n">
        <v>0</v>
      </c>
      <c r="H21" s="24" t="n">
        <v>0</v>
      </c>
      <c r="I21" s="24" t="n">
        <v>0</v>
      </c>
      <c r="J21" s="24"/>
      <c r="K21" s="24"/>
      <c r="L21" s="24"/>
      <c r="M21" s="24"/>
      <c r="N21" s="24"/>
      <c r="O21" s="24"/>
    </row>
    <row r="22" customFormat="false" ht="46.25" hidden="false" customHeight="false" outlineLevel="0" collapsed="false">
      <c r="A22" s="12" t="s">
        <v>306</v>
      </c>
      <c r="B22" s="13" t="s">
        <v>290</v>
      </c>
      <c r="C22" s="13" t="s">
        <v>291</v>
      </c>
      <c r="D22" s="30" t="s">
        <v>292</v>
      </c>
      <c r="E22" s="30" t="s">
        <v>37</v>
      </c>
      <c r="F22" s="24" t="n">
        <v>0</v>
      </c>
      <c r="G22" s="24" t="n">
        <v>3.8</v>
      </c>
      <c r="H22" s="24" t="n">
        <v>3.8</v>
      </c>
      <c r="I22" s="24" t="n">
        <v>3.8</v>
      </c>
      <c r="J22" s="24"/>
      <c r="K22" s="24"/>
      <c r="L22" s="24"/>
      <c r="M22" s="24"/>
      <c r="N22" s="24"/>
      <c r="O22" s="24"/>
    </row>
    <row r="23" customFormat="false" ht="16.4" hidden="false" customHeight="false" outlineLevel="0" collapsed="false">
      <c r="A23" s="9" t="s">
        <v>307</v>
      </c>
      <c r="B23" s="13" t="s">
        <v>294</v>
      </c>
      <c r="C23" s="13" t="s">
        <v>291</v>
      </c>
      <c r="D23" s="30"/>
      <c r="E23" s="30" t="s">
        <v>37</v>
      </c>
      <c r="F23" s="24" t="n">
        <v>0</v>
      </c>
      <c r="G23" s="24" t="n">
        <v>0</v>
      </c>
      <c r="H23" s="24" t="n">
        <v>0</v>
      </c>
      <c r="I23" s="24" t="n">
        <v>0</v>
      </c>
      <c r="J23" s="24"/>
      <c r="K23" s="24"/>
      <c r="L23" s="24"/>
      <c r="M23" s="24"/>
      <c r="N23" s="24"/>
      <c r="O23" s="24"/>
    </row>
    <row r="24" customFormat="false" ht="16.4" hidden="false" customHeight="false" outlineLevel="0" collapsed="false">
      <c r="A24" s="9" t="s">
        <v>308</v>
      </c>
      <c r="B24" s="13" t="s">
        <v>296</v>
      </c>
      <c r="C24" s="13" t="s">
        <v>297</v>
      </c>
      <c r="D24" s="30" t="s">
        <v>181</v>
      </c>
      <c r="E24" s="30" t="s">
        <v>37</v>
      </c>
      <c r="F24" s="24" t="n">
        <v>800</v>
      </c>
      <c r="G24" s="24" t="n">
        <v>800</v>
      </c>
      <c r="H24" s="24" t="n">
        <v>800</v>
      </c>
      <c r="I24" s="24" t="n">
        <v>800</v>
      </c>
      <c r="J24" s="24"/>
      <c r="K24" s="24"/>
      <c r="L24" s="24"/>
      <c r="M24" s="24"/>
      <c r="N24" s="24"/>
      <c r="O24" s="24"/>
    </row>
    <row r="25" customFormat="false" ht="15" hidden="false" customHeight="false" outlineLevel="0" collapsed="false">
      <c r="A25" s="18" t="s">
        <v>309</v>
      </c>
      <c r="D25" s="33"/>
      <c r="E25" s="33"/>
    </row>
    <row r="26" customFormat="false" ht="16.4" hidden="false" customHeight="false" outlineLevel="0" collapsed="false">
      <c r="A26" s="12" t="s">
        <v>310</v>
      </c>
      <c r="B26" s="13" t="s">
        <v>263</v>
      </c>
      <c r="C26" s="13" t="s">
        <v>62</v>
      </c>
      <c r="D26" s="30" t="s">
        <v>264</v>
      </c>
      <c r="E26" s="30" t="s">
        <v>98</v>
      </c>
      <c r="F26" s="14" t="s">
        <v>311</v>
      </c>
      <c r="G26" s="14" t="s">
        <v>311</v>
      </c>
      <c r="H26" s="14" t="s">
        <v>311</v>
      </c>
      <c r="I26" s="14" t="s">
        <v>311</v>
      </c>
      <c r="J26" s="14"/>
      <c r="K26" s="14"/>
      <c r="L26" s="14"/>
      <c r="M26" s="14"/>
      <c r="N26" s="14"/>
      <c r="O26" s="14"/>
    </row>
    <row r="27" customFormat="false" ht="16.4" hidden="false" customHeight="false" outlineLevel="0" collapsed="false">
      <c r="A27" s="9" t="s">
        <v>312</v>
      </c>
      <c r="B27" s="13" t="s">
        <v>267</v>
      </c>
      <c r="C27" s="13" t="s">
        <v>268</v>
      </c>
      <c r="D27" s="30" t="s">
        <v>269</v>
      </c>
      <c r="E27" s="30" t="s">
        <v>37</v>
      </c>
      <c r="F27" s="49" t="n">
        <v>0.23</v>
      </c>
      <c r="G27" s="49" t="n">
        <v>0.23</v>
      </c>
      <c r="H27" s="49" t="n">
        <v>0.23</v>
      </c>
      <c r="I27" s="49" t="n">
        <v>0.23</v>
      </c>
      <c r="J27" s="49"/>
      <c r="K27" s="49"/>
      <c r="L27" s="49"/>
      <c r="M27" s="49"/>
      <c r="N27" s="49"/>
      <c r="O27" s="49"/>
    </row>
    <row r="28" customFormat="false" ht="16.4" hidden="false" customHeight="false" outlineLevel="0" collapsed="false">
      <c r="A28" s="9" t="s">
        <v>313</v>
      </c>
      <c r="B28" s="13" t="s">
        <v>271</v>
      </c>
      <c r="C28" s="13" t="s">
        <v>272</v>
      </c>
      <c r="D28" s="30" t="s">
        <v>273</v>
      </c>
      <c r="E28" s="30" t="s">
        <v>194</v>
      </c>
      <c r="F28" s="24" t="n">
        <v>25</v>
      </c>
      <c r="G28" s="24" t="n">
        <v>25</v>
      </c>
      <c r="H28" s="24" t="n">
        <v>25</v>
      </c>
      <c r="I28" s="24" t="n">
        <v>25</v>
      </c>
      <c r="J28" s="24"/>
      <c r="K28" s="24"/>
      <c r="L28" s="24"/>
      <c r="M28" s="24"/>
      <c r="N28" s="24"/>
      <c r="O28" s="24"/>
    </row>
    <row r="29" customFormat="false" ht="16.4" hidden="false" customHeight="false" outlineLevel="0" collapsed="false">
      <c r="A29" s="9" t="s">
        <v>314</v>
      </c>
      <c r="B29" s="13" t="s">
        <v>275</v>
      </c>
      <c r="C29" s="13" t="s">
        <v>276</v>
      </c>
      <c r="D29" s="30" t="s">
        <v>277</v>
      </c>
      <c r="E29" s="30" t="s">
        <v>37</v>
      </c>
      <c r="F29" s="24" t="n">
        <v>870</v>
      </c>
      <c r="G29" s="24" t="n">
        <v>870</v>
      </c>
      <c r="H29" s="24" t="n">
        <v>870</v>
      </c>
      <c r="I29" s="24" t="n">
        <v>870</v>
      </c>
      <c r="J29" s="24"/>
      <c r="K29" s="24"/>
      <c r="L29" s="24"/>
      <c r="M29" s="24"/>
      <c r="N29" s="24"/>
      <c r="O29" s="24"/>
    </row>
    <row r="30" customFormat="false" ht="16.4" hidden="false" customHeight="false" outlineLevel="0" collapsed="false">
      <c r="A30" s="9" t="s">
        <v>315</v>
      </c>
      <c r="B30" s="13" t="s">
        <v>279</v>
      </c>
      <c r="C30" s="13" t="s">
        <v>280</v>
      </c>
      <c r="D30" s="30"/>
      <c r="E30" s="30" t="s">
        <v>37</v>
      </c>
      <c r="F30" s="24" t="n">
        <v>1500</v>
      </c>
      <c r="G30" s="24" t="n">
        <v>1500</v>
      </c>
      <c r="H30" s="24" t="n">
        <v>1500</v>
      </c>
      <c r="I30" s="24" t="n">
        <v>1500</v>
      </c>
      <c r="J30" s="24"/>
      <c r="K30" s="24"/>
      <c r="L30" s="24"/>
      <c r="M30" s="24"/>
      <c r="N30" s="24"/>
      <c r="O30" s="24"/>
    </row>
    <row r="31" customFormat="false" ht="31.3" hidden="false" customHeight="false" outlineLevel="0" collapsed="false">
      <c r="A31" s="9" t="s">
        <v>316</v>
      </c>
      <c r="B31" s="13" t="s">
        <v>282</v>
      </c>
      <c r="C31" s="13" t="s">
        <v>283</v>
      </c>
      <c r="D31" s="30" t="s">
        <v>284</v>
      </c>
      <c r="E31" s="30" t="s">
        <v>37</v>
      </c>
      <c r="F31" s="24" t="n">
        <v>0</v>
      </c>
      <c r="G31" s="24" t="n">
        <v>0</v>
      </c>
      <c r="H31" s="24" t="n">
        <v>0</v>
      </c>
      <c r="I31" s="24" t="n">
        <v>0</v>
      </c>
      <c r="J31" s="24"/>
      <c r="K31" s="24"/>
      <c r="L31" s="24"/>
      <c r="M31" s="24"/>
      <c r="N31" s="24"/>
      <c r="O31" s="24"/>
    </row>
    <row r="32" customFormat="false" ht="16.4" hidden="false" customHeight="false" outlineLevel="0" collapsed="false">
      <c r="A32" s="9" t="s">
        <v>317</v>
      </c>
      <c r="B32" s="13" t="s">
        <v>286</v>
      </c>
      <c r="C32" s="13" t="s">
        <v>287</v>
      </c>
      <c r="D32" s="30" t="s">
        <v>288</v>
      </c>
      <c r="E32" s="30" t="s">
        <v>37</v>
      </c>
      <c r="F32" s="24" t="n">
        <v>0</v>
      </c>
      <c r="G32" s="24" t="n">
        <v>0</v>
      </c>
      <c r="H32" s="24" t="n">
        <v>0</v>
      </c>
      <c r="I32" s="24" t="n">
        <v>0</v>
      </c>
      <c r="J32" s="24"/>
      <c r="K32" s="24"/>
      <c r="L32" s="24"/>
      <c r="M32" s="24"/>
      <c r="N32" s="24"/>
      <c r="O32" s="24"/>
    </row>
    <row r="33" customFormat="false" ht="46.25" hidden="false" customHeight="false" outlineLevel="0" collapsed="false">
      <c r="A33" s="12" t="s">
        <v>318</v>
      </c>
      <c r="B33" s="13" t="s">
        <v>290</v>
      </c>
      <c r="C33" s="13" t="s">
        <v>291</v>
      </c>
      <c r="D33" s="30" t="s">
        <v>292</v>
      </c>
      <c r="E33" s="30" t="s">
        <v>37</v>
      </c>
      <c r="F33" s="24" t="n">
        <v>0</v>
      </c>
      <c r="G33" s="24" t="n">
        <v>3.2</v>
      </c>
      <c r="H33" s="24" t="n">
        <v>3.2</v>
      </c>
      <c r="I33" s="24" t="n">
        <v>3.2</v>
      </c>
      <c r="J33" s="24"/>
      <c r="K33" s="24"/>
      <c r="L33" s="24"/>
      <c r="M33" s="24"/>
      <c r="N33" s="24"/>
      <c r="O33" s="24"/>
    </row>
    <row r="34" customFormat="false" ht="16.4" hidden="false" customHeight="false" outlineLevel="0" collapsed="false">
      <c r="A34" s="9" t="s">
        <v>319</v>
      </c>
      <c r="B34" s="13" t="s">
        <v>294</v>
      </c>
      <c r="C34" s="13" t="s">
        <v>291</v>
      </c>
      <c r="D34" s="30"/>
      <c r="E34" s="30" t="s">
        <v>37</v>
      </c>
      <c r="F34" s="24" t="n">
        <v>0</v>
      </c>
      <c r="G34" s="24" t="n">
        <v>0</v>
      </c>
      <c r="H34" s="24" t="n">
        <v>0</v>
      </c>
      <c r="I34" s="24" t="n">
        <v>0</v>
      </c>
      <c r="J34" s="24"/>
      <c r="K34" s="24"/>
      <c r="L34" s="24"/>
      <c r="M34" s="24"/>
      <c r="N34" s="24"/>
      <c r="O34" s="24"/>
    </row>
    <row r="35" customFormat="false" ht="16.4" hidden="false" customHeight="false" outlineLevel="0" collapsed="false">
      <c r="A35" s="9" t="s">
        <v>320</v>
      </c>
      <c r="B35" s="13" t="s">
        <v>296</v>
      </c>
      <c r="C35" s="13" t="s">
        <v>297</v>
      </c>
      <c r="D35" s="30" t="s">
        <v>181</v>
      </c>
      <c r="E35" s="30" t="s">
        <v>37</v>
      </c>
      <c r="F35" s="24" t="n">
        <v>800</v>
      </c>
      <c r="G35" s="24" t="n">
        <v>800</v>
      </c>
      <c r="H35" s="24" t="n">
        <v>800</v>
      </c>
      <c r="I35" s="24" t="n">
        <v>800</v>
      </c>
      <c r="J35" s="24"/>
      <c r="K35" s="24"/>
      <c r="L35" s="24"/>
      <c r="M35" s="24"/>
      <c r="N35" s="24"/>
      <c r="O35" s="24"/>
    </row>
    <row r="36" customFormat="false" ht="15" hidden="false" customHeight="false" outlineLevel="0" collapsed="false">
      <c r="A36" s="18" t="s">
        <v>321</v>
      </c>
      <c r="D36" s="33"/>
      <c r="E36" s="33"/>
    </row>
    <row r="37" customFormat="false" ht="16.4" hidden="false" customHeight="false" outlineLevel="0" collapsed="false">
      <c r="A37" s="12" t="s">
        <v>322</v>
      </c>
      <c r="B37" s="13" t="s">
        <v>263</v>
      </c>
      <c r="C37" s="13" t="s">
        <v>62</v>
      </c>
      <c r="D37" s="30" t="s">
        <v>264</v>
      </c>
      <c r="E37" s="30" t="s">
        <v>98</v>
      </c>
      <c r="F37" s="14"/>
      <c r="G37" s="14"/>
      <c r="H37" s="14"/>
      <c r="I37" s="14"/>
      <c r="J37" s="14"/>
      <c r="K37" s="14"/>
      <c r="L37" s="14"/>
      <c r="M37" s="14"/>
      <c r="N37" s="14"/>
      <c r="O37" s="14"/>
    </row>
    <row r="38" customFormat="false" ht="16.4" hidden="false" customHeight="false" outlineLevel="0" collapsed="false">
      <c r="A38" s="9" t="s">
        <v>323</v>
      </c>
      <c r="B38" s="13" t="s">
        <v>267</v>
      </c>
      <c r="C38" s="13" t="s">
        <v>268</v>
      </c>
      <c r="D38" s="30" t="s">
        <v>269</v>
      </c>
      <c r="E38" s="30" t="s">
        <v>37</v>
      </c>
      <c r="F38" s="49"/>
      <c r="G38" s="49"/>
      <c r="H38" s="49"/>
      <c r="I38" s="49"/>
      <c r="J38" s="49"/>
      <c r="K38" s="49"/>
      <c r="L38" s="49"/>
      <c r="M38" s="49"/>
      <c r="N38" s="49"/>
      <c r="O38" s="49"/>
    </row>
    <row r="39" customFormat="false" ht="16.4" hidden="false" customHeight="false" outlineLevel="0" collapsed="false">
      <c r="A39" s="9" t="s">
        <v>324</v>
      </c>
      <c r="B39" s="13" t="s">
        <v>271</v>
      </c>
      <c r="C39" s="13" t="s">
        <v>272</v>
      </c>
      <c r="D39" s="30" t="s">
        <v>273</v>
      </c>
      <c r="E39" s="30" t="s">
        <v>194</v>
      </c>
      <c r="F39" s="24"/>
      <c r="G39" s="24"/>
      <c r="H39" s="24"/>
      <c r="I39" s="24"/>
      <c r="J39" s="24"/>
      <c r="K39" s="24"/>
      <c r="L39" s="24"/>
      <c r="M39" s="24"/>
      <c r="N39" s="24"/>
      <c r="O39" s="24"/>
    </row>
    <row r="40" customFormat="false" ht="16.4" hidden="false" customHeight="false" outlineLevel="0" collapsed="false">
      <c r="A40" s="9" t="s">
        <v>325</v>
      </c>
      <c r="B40" s="13" t="s">
        <v>275</v>
      </c>
      <c r="C40" s="13" t="s">
        <v>276</v>
      </c>
      <c r="D40" s="30" t="s">
        <v>277</v>
      </c>
      <c r="E40" s="30" t="s">
        <v>37</v>
      </c>
      <c r="F40" s="24"/>
      <c r="G40" s="24"/>
      <c r="H40" s="24"/>
      <c r="I40" s="24"/>
      <c r="J40" s="24"/>
      <c r="K40" s="24"/>
      <c r="L40" s="24"/>
      <c r="M40" s="24"/>
      <c r="N40" s="24"/>
      <c r="O40" s="24"/>
    </row>
    <row r="41" customFormat="false" ht="16.4" hidden="false" customHeight="false" outlineLevel="0" collapsed="false">
      <c r="A41" s="9" t="s">
        <v>326</v>
      </c>
      <c r="B41" s="13" t="s">
        <v>279</v>
      </c>
      <c r="C41" s="13" t="s">
        <v>280</v>
      </c>
      <c r="D41" s="30"/>
      <c r="E41" s="30" t="s">
        <v>37</v>
      </c>
      <c r="F41" s="24"/>
      <c r="G41" s="24"/>
      <c r="H41" s="24"/>
      <c r="I41" s="24"/>
      <c r="J41" s="24"/>
      <c r="K41" s="24"/>
      <c r="L41" s="24"/>
      <c r="M41" s="24"/>
      <c r="N41" s="24"/>
      <c r="O41" s="24"/>
    </row>
    <row r="42" customFormat="false" ht="31.3" hidden="false" customHeight="false" outlineLevel="0" collapsed="false">
      <c r="A42" s="9" t="s">
        <v>327</v>
      </c>
      <c r="B42" s="13" t="s">
        <v>282</v>
      </c>
      <c r="C42" s="13" t="s">
        <v>283</v>
      </c>
      <c r="D42" s="30" t="s">
        <v>284</v>
      </c>
      <c r="E42" s="30" t="s">
        <v>37</v>
      </c>
      <c r="F42" s="24"/>
      <c r="G42" s="24"/>
      <c r="H42" s="24"/>
      <c r="I42" s="24"/>
      <c r="J42" s="24"/>
      <c r="K42" s="24"/>
      <c r="L42" s="24"/>
      <c r="M42" s="24"/>
      <c r="N42" s="24"/>
      <c r="O42" s="24"/>
    </row>
    <row r="43" customFormat="false" ht="16.4" hidden="false" customHeight="false" outlineLevel="0" collapsed="false">
      <c r="A43" s="9" t="s">
        <v>328</v>
      </c>
      <c r="B43" s="13" t="s">
        <v>286</v>
      </c>
      <c r="C43" s="13" t="s">
        <v>287</v>
      </c>
      <c r="D43" s="30" t="s">
        <v>288</v>
      </c>
      <c r="E43" s="30" t="s">
        <v>37</v>
      </c>
      <c r="F43" s="24"/>
      <c r="G43" s="24"/>
      <c r="H43" s="24"/>
      <c r="I43" s="24"/>
      <c r="J43" s="24"/>
      <c r="K43" s="24"/>
      <c r="L43" s="24"/>
      <c r="M43" s="24"/>
      <c r="N43" s="24"/>
      <c r="O43" s="24"/>
    </row>
    <row r="44" customFormat="false" ht="46.25" hidden="false" customHeight="false" outlineLevel="0" collapsed="false">
      <c r="A44" s="12" t="s">
        <v>329</v>
      </c>
      <c r="B44" s="13" t="s">
        <v>290</v>
      </c>
      <c r="C44" s="13" t="s">
        <v>291</v>
      </c>
      <c r="D44" s="30" t="s">
        <v>292</v>
      </c>
      <c r="E44" s="30" t="s">
        <v>37</v>
      </c>
      <c r="F44" s="24"/>
      <c r="G44" s="24"/>
      <c r="H44" s="24"/>
      <c r="I44" s="24"/>
      <c r="J44" s="24"/>
      <c r="K44" s="24"/>
      <c r="L44" s="24"/>
      <c r="M44" s="24"/>
      <c r="N44" s="24"/>
      <c r="O44" s="24"/>
    </row>
    <row r="45" customFormat="false" ht="16.4" hidden="false" customHeight="false" outlineLevel="0" collapsed="false">
      <c r="A45" s="9" t="s">
        <v>330</v>
      </c>
      <c r="B45" s="13" t="s">
        <v>294</v>
      </c>
      <c r="C45" s="13" t="s">
        <v>291</v>
      </c>
      <c r="D45" s="30"/>
      <c r="E45" s="30" t="s">
        <v>37</v>
      </c>
      <c r="F45" s="24"/>
      <c r="G45" s="24"/>
      <c r="H45" s="24"/>
      <c r="I45" s="24"/>
      <c r="J45" s="24"/>
      <c r="K45" s="24"/>
      <c r="L45" s="24"/>
      <c r="M45" s="24"/>
      <c r="N45" s="24"/>
      <c r="O45" s="24"/>
    </row>
    <row r="46" customFormat="false" ht="16.4" hidden="false" customHeight="false" outlineLevel="0" collapsed="false">
      <c r="A46" s="9" t="s">
        <v>331</v>
      </c>
      <c r="B46" s="13" t="s">
        <v>296</v>
      </c>
      <c r="C46" s="13" t="s">
        <v>297</v>
      </c>
      <c r="D46" s="30" t="s">
        <v>181</v>
      </c>
      <c r="E46" s="30" t="s">
        <v>37</v>
      </c>
      <c r="F46" s="24"/>
      <c r="G46" s="24"/>
      <c r="H46" s="24"/>
      <c r="I46" s="24"/>
      <c r="J46" s="24"/>
      <c r="K46" s="24"/>
      <c r="L46" s="24"/>
      <c r="M46" s="24"/>
      <c r="N46" s="24"/>
      <c r="O46" s="24"/>
    </row>
    <row r="47" customFormat="false" ht="15" hidden="false" customHeight="false" outlineLevel="0" collapsed="false">
      <c r="A47" s="18" t="s">
        <v>332</v>
      </c>
      <c r="D47" s="33"/>
      <c r="E47" s="33"/>
    </row>
    <row r="48" customFormat="false" ht="16.4" hidden="false" customHeight="false" outlineLevel="0" collapsed="false">
      <c r="A48" s="9" t="s">
        <v>333</v>
      </c>
      <c r="B48" s="13" t="s">
        <v>334</v>
      </c>
      <c r="C48" s="13" t="s">
        <v>268</v>
      </c>
      <c r="D48" s="30" t="s">
        <v>335</v>
      </c>
      <c r="E48" s="30" t="s">
        <v>37</v>
      </c>
      <c r="F48" s="49" t="n">
        <v>0.96</v>
      </c>
      <c r="G48" s="49" t="n">
        <v>0.96</v>
      </c>
      <c r="H48" s="49" t="n">
        <v>0.96</v>
      </c>
      <c r="I48" s="49" t="n">
        <v>0.96</v>
      </c>
      <c r="J48" s="49"/>
      <c r="K48" s="49"/>
      <c r="L48" s="49"/>
      <c r="M48" s="49"/>
      <c r="N48" s="49"/>
      <c r="O48" s="49"/>
    </row>
    <row r="49" customFormat="false" ht="16.4" hidden="false" customHeight="false" outlineLevel="0" collapsed="false">
      <c r="A49" s="9" t="s">
        <v>336</v>
      </c>
      <c r="B49" s="13" t="s">
        <v>337</v>
      </c>
      <c r="C49" s="13" t="s">
        <v>268</v>
      </c>
      <c r="D49" s="30" t="s">
        <v>335</v>
      </c>
      <c r="E49" s="30" t="s">
        <v>37</v>
      </c>
      <c r="F49" s="49" t="n">
        <v>0.96</v>
      </c>
      <c r="G49" s="49" t="n">
        <v>0.96</v>
      </c>
      <c r="H49" s="49" t="n">
        <v>0.96</v>
      </c>
      <c r="I49" s="49" t="n">
        <v>0.96</v>
      </c>
      <c r="J49" s="49"/>
      <c r="K49" s="49"/>
      <c r="L49" s="49"/>
      <c r="M49" s="49"/>
      <c r="N49" s="49"/>
      <c r="O49" s="49"/>
    </row>
    <row r="50" customFormat="false" ht="16.4" hidden="false" customHeight="false" outlineLevel="0" collapsed="false">
      <c r="A50" s="9" t="s">
        <v>338</v>
      </c>
      <c r="B50" s="13" t="s">
        <v>339</v>
      </c>
      <c r="C50" s="13" t="s">
        <v>268</v>
      </c>
      <c r="D50" s="30" t="s">
        <v>340</v>
      </c>
      <c r="E50" s="30" t="s">
        <v>37</v>
      </c>
      <c r="F50" s="50" t="n">
        <v>0.998</v>
      </c>
      <c r="G50" s="50" t="n">
        <v>0.998</v>
      </c>
      <c r="H50" s="50" t="n">
        <v>0.998</v>
      </c>
      <c r="I50" s="50" t="n">
        <v>0.998</v>
      </c>
      <c r="J50" s="50"/>
      <c r="K50" s="50"/>
      <c r="L50" s="50"/>
      <c r="M50" s="50"/>
      <c r="N50" s="50"/>
      <c r="O50" s="50"/>
    </row>
    <row r="51" customFormat="false" ht="16.4" hidden="false" customHeight="false" outlineLevel="0" collapsed="false">
      <c r="A51" s="9" t="s">
        <v>341</v>
      </c>
      <c r="B51" s="13" t="s">
        <v>271</v>
      </c>
      <c r="C51" s="13" t="s">
        <v>272</v>
      </c>
      <c r="D51" s="30" t="s">
        <v>342</v>
      </c>
      <c r="E51" s="30" t="s">
        <v>194</v>
      </c>
      <c r="F51" s="24" t="n">
        <v>15</v>
      </c>
      <c r="G51" s="24" t="n">
        <v>15</v>
      </c>
      <c r="H51" s="24" t="n">
        <v>15</v>
      </c>
      <c r="I51" s="24" t="n">
        <v>15</v>
      </c>
      <c r="J51" s="24"/>
      <c r="K51" s="24"/>
      <c r="L51" s="24"/>
      <c r="M51" s="24"/>
      <c r="N51" s="24"/>
      <c r="O51" s="24"/>
    </row>
    <row r="52" customFormat="false" ht="16.4" hidden="false" customHeight="false" outlineLevel="0" collapsed="false">
      <c r="A52" s="9" t="s">
        <v>343</v>
      </c>
      <c r="B52" s="13" t="s">
        <v>344</v>
      </c>
      <c r="C52" s="13" t="s">
        <v>62</v>
      </c>
      <c r="D52" s="30" t="s">
        <v>345</v>
      </c>
      <c r="E52" s="30" t="s">
        <v>37</v>
      </c>
      <c r="F52" s="24" t="n">
        <v>3000</v>
      </c>
      <c r="G52" s="24" t="n">
        <v>3000</v>
      </c>
      <c r="H52" s="24" t="n">
        <v>3000</v>
      </c>
      <c r="I52" s="24" t="n">
        <v>3000</v>
      </c>
      <c r="J52" s="24"/>
      <c r="K52" s="24"/>
      <c r="L52" s="24"/>
      <c r="M52" s="24"/>
      <c r="N52" s="24"/>
      <c r="O52" s="24"/>
    </row>
    <row r="53" customFormat="false" ht="16.4" hidden="false" customHeight="false" outlineLevel="0" collapsed="false">
      <c r="A53" s="9" t="s">
        <v>346</v>
      </c>
      <c r="B53" s="13" t="s">
        <v>347</v>
      </c>
      <c r="C53" s="13" t="s">
        <v>62</v>
      </c>
      <c r="D53" s="30" t="s">
        <v>348</v>
      </c>
      <c r="E53" s="30" t="s">
        <v>37</v>
      </c>
      <c r="F53" s="24" t="n">
        <v>0.5</v>
      </c>
      <c r="G53" s="24" t="n">
        <v>0.5</v>
      </c>
      <c r="H53" s="24" t="n">
        <v>0.5</v>
      </c>
      <c r="I53" s="24" t="n">
        <v>0.5</v>
      </c>
      <c r="J53" s="24"/>
      <c r="K53" s="24"/>
      <c r="L53" s="24"/>
      <c r="M53" s="24"/>
      <c r="N53" s="24"/>
      <c r="O53" s="24"/>
    </row>
    <row r="54" customFormat="false" ht="16.4" hidden="false" customHeight="false" outlineLevel="0" collapsed="false">
      <c r="A54" s="9" t="s">
        <v>349</v>
      </c>
      <c r="B54" s="13" t="s">
        <v>350</v>
      </c>
      <c r="C54" s="13" t="s">
        <v>268</v>
      </c>
      <c r="D54" s="30" t="s">
        <v>351</v>
      </c>
      <c r="E54" s="30" t="s">
        <v>37</v>
      </c>
      <c r="F54" s="49" t="n">
        <v>0.2</v>
      </c>
      <c r="G54" s="49" t="n">
        <v>0.2</v>
      </c>
      <c r="H54" s="49" t="n">
        <v>0.2</v>
      </c>
      <c r="I54" s="49" t="n">
        <v>0.2</v>
      </c>
      <c r="J54" s="49"/>
      <c r="K54" s="49"/>
      <c r="L54" s="49"/>
      <c r="M54" s="49"/>
      <c r="N54" s="49"/>
      <c r="O54" s="49"/>
    </row>
    <row r="55" customFormat="false" ht="16.4" hidden="false" customHeight="false" outlineLevel="0" collapsed="false">
      <c r="A55" s="9" t="s">
        <v>352</v>
      </c>
      <c r="B55" s="13" t="s">
        <v>275</v>
      </c>
      <c r="C55" s="13" t="s">
        <v>353</v>
      </c>
      <c r="D55" s="30" t="s">
        <v>354</v>
      </c>
      <c r="E55" s="30" t="s">
        <v>37</v>
      </c>
      <c r="F55" s="24" t="n">
        <v>400</v>
      </c>
      <c r="G55" s="24" t="n">
        <v>400</v>
      </c>
      <c r="H55" s="24" t="n">
        <v>400</v>
      </c>
      <c r="I55" s="24" t="n">
        <v>400</v>
      </c>
      <c r="J55" s="24"/>
      <c r="K55" s="24"/>
      <c r="L55" s="24"/>
      <c r="M55" s="24"/>
      <c r="N55" s="24"/>
      <c r="O55" s="24"/>
    </row>
    <row r="56" customFormat="false" ht="16.4" hidden="false" customHeight="false" outlineLevel="0" collapsed="false">
      <c r="A56" s="9" t="s">
        <v>355</v>
      </c>
      <c r="B56" s="13" t="s">
        <v>279</v>
      </c>
      <c r="C56" s="13" t="s">
        <v>280</v>
      </c>
      <c r="D56" s="30"/>
      <c r="E56" s="30" t="s">
        <v>37</v>
      </c>
      <c r="F56" s="24" t="n">
        <v>2000</v>
      </c>
      <c r="G56" s="24" t="n">
        <v>2000</v>
      </c>
      <c r="H56" s="24" t="n">
        <v>2000</v>
      </c>
      <c r="I56" s="24" t="n">
        <v>2000</v>
      </c>
      <c r="J56" s="24"/>
      <c r="K56" s="24"/>
      <c r="L56" s="24"/>
      <c r="M56" s="24"/>
      <c r="N56" s="24"/>
      <c r="O56" s="24"/>
    </row>
    <row r="57" customFormat="false" ht="16.4" hidden="false" customHeight="false" outlineLevel="0" collapsed="false">
      <c r="A57" s="9" t="s">
        <v>356</v>
      </c>
      <c r="B57" s="13" t="s">
        <v>282</v>
      </c>
      <c r="C57" s="13" t="s">
        <v>283</v>
      </c>
      <c r="D57" s="30"/>
      <c r="E57" s="30" t="s">
        <v>37</v>
      </c>
      <c r="F57" s="24"/>
      <c r="G57" s="24"/>
      <c r="H57" s="24"/>
      <c r="I57" s="24"/>
      <c r="J57" s="24"/>
      <c r="K57" s="24"/>
      <c r="L57" s="24"/>
      <c r="M57" s="24"/>
      <c r="N57" s="24"/>
      <c r="O57" s="24"/>
    </row>
    <row r="58" customFormat="false" ht="16.4" hidden="false" customHeight="false" outlineLevel="0" collapsed="false">
      <c r="A58" s="9" t="s">
        <v>357</v>
      </c>
      <c r="B58" s="13" t="s">
        <v>286</v>
      </c>
      <c r="C58" s="13" t="s">
        <v>287</v>
      </c>
      <c r="D58" s="30"/>
      <c r="E58" s="30" t="s">
        <v>37</v>
      </c>
      <c r="F58" s="24"/>
      <c r="G58" s="24"/>
      <c r="H58" s="24"/>
      <c r="I58" s="24"/>
      <c r="J58" s="24"/>
      <c r="K58" s="24"/>
      <c r="L58" s="24"/>
      <c r="M58" s="24"/>
      <c r="N58" s="24"/>
      <c r="O58" s="24"/>
    </row>
    <row r="59" customFormat="false" ht="16.4" hidden="false" customHeight="false" outlineLevel="0" collapsed="false">
      <c r="A59" s="9" t="s">
        <v>358</v>
      </c>
      <c r="B59" s="13" t="s">
        <v>359</v>
      </c>
      <c r="C59" s="13" t="s">
        <v>59</v>
      </c>
      <c r="D59" s="30"/>
      <c r="E59" s="30" t="s">
        <v>37</v>
      </c>
      <c r="F59" s="24"/>
      <c r="G59" s="24"/>
      <c r="H59" s="24"/>
      <c r="I59" s="24"/>
      <c r="J59" s="24"/>
      <c r="K59" s="24"/>
      <c r="L59" s="24"/>
      <c r="M59" s="24"/>
      <c r="N59" s="24"/>
      <c r="O59" s="24"/>
    </row>
    <row r="60" customFormat="false" ht="16.4" hidden="false" customHeight="false" outlineLevel="0" collapsed="false">
      <c r="A60" s="9" t="s">
        <v>360</v>
      </c>
      <c r="B60" s="13" t="s">
        <v>294</v>
      </c>
      <c r="C60" s="13" t="s">
        <v>59</v>
      </c>
      <c r="D60" s="30"/>
      <c r="E60" s="30" t="s">
        <v>37</v>
      </c>
      <c r="F60" s="24"/>
      <c r="G60" s="24"/>
      <c r="H60" s="24"/>
      <c r="I60" s="24"/>
      <c r="J60" s="24"/>
      <c r="K60" s="24"/>
      <c r="L60" s="24"/>
      <c r="M60" s="24"/>
      <c r="N60" s="24"/>
      <c r="O60" s="24"/>
    </row>
    <row r="61" customFormat="false" ht="16.4" hidden="false" customHeight="false" outlineLevel="0" collapsed="false">
      <c r="A61" s="9" t="s">
        <v>361</v>
      </c>
      <c r="B61" s="13" t="s">
        <v>362</v>
      </c>
      <c r="C61" s="13" t="s">
        <v>363</v>
      </c>
      <c r="D61" s="30" t="s">
        <v>364</v>
      </c>
      <c r="E61" s="30" t="s">
        <v>37</v>
      </c>
      <c r="F61" s="24" t="n">
        <v>230</v>
      </c>
      <c r="G61" s="24" t="n">
        <v>230</v>
      </c>
      <c r="H61" s="24" t="n">
        <v>230</v>
      </c>
      <c r="I61" s="24" t="n">
        <v>230</v>
      </c>
      <c r="J61" s="24"/>
      <c r="K61" s="24"/>
      <c r="L61" s="24"/>
      <c r="M61" s="24"/>
      <c r="N61" s="24"/>
      <c r="O61" s="24"/>
    </row>
    <row r="62" customFormat="false" ht="15" hidden="false" customHeight="false" outlineLevel="0" collapsed="false">
      <c r="A62" s="18" t="s">
        <v>365</v>
      </c>
      <c r="D62" s="33"/>
      <c r="E62" s="33"/>
    </row>
    <row r="63" customFormat="false" ht="16.4" hidden="false" customHeight="false" outlineLevel="0" collapsed="false">
      <c r="A63" s="9" t="s">
        <v>366</v>
      </c>
      <c r="B63" s="13" t="s">
        <v>263</v>
      </c>
      <c r="C63" s="13" t="s">
        <v>62</v>
      </c>
      <c r="D63" s="30" t="s">
        <v>264</v>
      </c>
      <c r="E63" s="30" t="s">
        <v>98</v>
      </c>
      <c r="F63" s="32" t="s">
        <v>311</v>
      </c>
      <c r="G63" s="32" t="s">
        <v>311</v>
      </c>
      <c r="H63" s="32" t="s">
        <v>311</v>
      </c>
      <c r="I63" s="32" t="s">
        <v>311</v>
      </c>
      <c r="J63" s="32"/>
      <c r="K63" s="32"/>
      <c r="L63" s="32"/>
      <c r="M63" s="32"/>
      <c r="N63" s="32"/>
      <c r="O63" s="32"/>
    </row>
    <row r="64" customFormat="false" ht="31.3" hidden="false" customHeight="false" outlineLevel="0" collapsed="false">
      <c r="A64" s="9" t="s">
        <v>367</v>
      </c>
      <c r="B64" s="13" t="s">
        <v>368</v>
      </c>
      <c r="C64" s="13"/>
      <c r="D64" s="30" t="s">
        <v>369</v>
      </c>
      <c r="E64" s="30" t="s">
        <v>98</v>
      </c>
      <c r="F64" s="49" t="s">
        <v>370</v>
      </c>
      <c r="G64" s="49" t="s">
        <v>370</v>
      </c>
      <c r="H64" s="49" t="s">
        <v>370</v>
      </c>
      <c r="I64" s="49" t="s">
        <v>370</v>
      </c>
      <c r="J64" s="49"/>
      <c r="K64" s="49"/>
      <c r="L64" s="49"/>
      <c r="M64" s="49"/>
      <c r="N64" s="49"/>
      <c r="O64" s="49"/>
    </row>
    <row r="65" customFormat="false" ht="16.4" hidden="false" customHeight="false" outlineLevel="0" collapsed="false">
      <c r="A65" s="9" t="s">
        <v>371</v>
      </c>
      <c r="B65" s="13" t="s">
        <v>271</v>
      </c>
      <c r="C65" s="13" t="s">
        <v>272</v>
      </c>
      <c r="D65" s="30" t="s">
        <v>273</v>
      </c>
      <c r="E65" s="30" t="s">
        <v>194</v>
      </c>
      <c r="F65" s="24" t="n">
        <v>25</v>
      </c>
      <c r="G65" s="24" t="n">
        <v>25</v>
      </c>
      <c r="H65" s="24" t="n">
        <v>25</v>
      </c>
      <c r="I65" s="24" t="n">
        <v>25</v>
      </c>
      <c r="J65" s="24"/>
      <c r="K65" s="24"/>
      <c r="L65" s="24"/>
      <c r="M65" s="24"/>
      <c r="N65" s="24"/>
      <c r="O65" s="24"/>
    </row>
    <row r="66" customFormat="false" ht="16.4" hidden="false" customHeight="false" outlineLevel="0" collapsed="false">
      <c r="A66" s="9" t="s">
        <v>372</v>
      </c>
      <c r="B66" s="13" t="s">
        <v>275</v>
      </c>
      <c r="C66" s="13" t="s">
        <v>276</v>
      </c>
      <c r="D66" s="30"/>
      <c r="E66" s="30" t="s">
        <v>37</v>
      </c>
      <c r="F66" s="24" t="n">
        <v>0</v>
      </c>
      <c r="G66" s="24" t="n">
        <v>0</v>
      </c>
      <c r="H66" s="24" t="n">
        <v>0</v>
      </c>
      <c r="I66" s="24" t="n">
        <v>0</v>
      </c>
      <c r="J66" s="24"/>
      <c r="K66" s="24"/>
      <c r="L66" s="24"/>
      <c r="M66" s="24"/>
      <c r="N66" s="24"/>
      <c r="O66" s="24"/>
    </row>
    <row r="67" customFormat="false" ht="16.4" hidden="false" customHeight="false" outlineLevel="0" collapsed="false">
      <c r="A67" s="9" t="s">
        <v>373</v>
      </c>
      <c r="B67" s="13" t="s">
        <v>279</v>
      </c>
      <c r="C67" s="13" t="s">
        <v>280</v>
      </c>
      <c r="D67" s="30"/>
      <c r="E67" s="30" t="s">
        <v>37</v>
      </c>
      <c r="F67" s="24" t="n">
        <v>0</v>
      </c>
      <c r="G67" s="24" t="n">
        <v>0</v>
      </c>
      <c r="H67" s="24" t="n">
        <v>0</v>
      </c>
      <c r="I67" s="24" t="n">
        <v>0</v>
      </c>
      <c r="J67" s="24"/>
      <c r="K67" s="24"/>
      <c r="L67" s="24"/>
      <c r="M67" s="24"/>
      <c r="N67" s="24"/>
      <c r="O67" s="24"/>
    </row>
    <row r="68" customFormat="false" ht="31.3" hidden="false" customHeight="false" outlineLevel="0" collapsed="false">
      <c r="A68" s="9" t="s">
        <v>374</v>
      </c>
      <c r="B68" s="13" t="s">
        <v>282</v>
      </c>
      <c r="C68" s="13" t="s">
        <v>283</v>
      </c>
      <c r="D68" s="30" t="s">
        <v>284</v>
      </c>
      <c r="E68" s="30" t="s">
        <v>37</v>
      </c>
      <c r="F68" s="24" t="n">
        <v>0</v>
      </c>
      <c r="G68" s="24" t="n">
        <v>0</v>
      </c>
      <c r="H68" s="24" t="n">
        <v>0</v>
      </c>
      <c r="I68" s="24" t="n">
        <v>0</v>
      </c>
      <c r="J68" s="24"/>
      <c r="K68" s="24"/>
      <c r="L68" s="24"/>
      <c r="M68" s="24"/>
      <c r="N68" s="24"/>
      <c r="O68" s="24"/>
    </row>
    <row r="69" customFormat="false" ht="16.4" hidden="false" customHeight="false" outlineLevel="0" collapsed="false">
      <c r="A69" s="9" t="s">
        <v>375</v>
      </c>
      <c r="B69" s="13" t="s">
        <v>286</v>
      </c>
      <c r="C69" s="13" t="s">
        <v>287</v>
      </c>
      <c r="D69" s="30" t="s">
        <v>288</v>
      </c>
      <c r="E69" s="30" t="s">
        <v>37</v>
      </c>
      <c r="F69" s="24" t="n">
        <v>0</v>
      </c>
      <c r="G69" s="24" t="n">
        <v>0</v>
      </c>
      <c r="H69" s="24" t="n">
        <v>0</v>
      </c>
      <c r="I69" s="24" t="n">
        <v>0</v>
      </c>
      <c r="J69" s="24"/>
      <c r="K69" s="24"/>
      <c r="L69" s="24"/>
      <c r="M69" s="24"/>
      <c r="N69" s="24"/>
      <c r="O69" s="24"/>
    </row>
    <row r="70" customFormat="false" ht="16.4" hidden="false" customHeight="false" outlineLevel="0" collapsed="false">
      <c r="A70" s="9" t="s">
        <v>376</v>
      </c>
      <c r="B70" s="13" t="s">
        <v>290</v>
      </c>
      <c r="C70" s="13" t="s">
        <v>291</v>
      </c>
      <c r="D70" s="30"/>
      <c r="E70" s="30" t="s">
        <v>37</v>
      </c>
      <c r="F70" s="24" t="n">
        <v>0</v>
      </c>
      <c r="G70" s="24" t="n">
        <v>0</v>
      </c>
      <c r="H70" s="24" t="n">
        <v>0</v>
      </c>
      <c r="I70" s="24" t="n">
        <v>0</v>
      </c>
      <c r="J70" s="24"/>
      <c r="K70" s="24"/>
      <c r="L70" s="24"/>
      <c r="M70" s="24"/>
      <c r="N70" s="24"/>
      <c r="O70" s="24"/>
    </row>
    <row r="71" customFormat="false" ht="16.4" hidden="false" customHeight="false" outlineLevel="0" collapsed="false">
      <c r="A71" s="40" t="s">
        <v>377</v>
      </c>
      <c r="B71" s="13" t="s">
        <v>294</v>
      </c>
      <c r="C71" s="13" t="s">
        <v>291</v>
      </c>
      <c r="D71" s="30"/>
      <c r="E71" s="30" t="s">
        <v>37</v>
      </c>
      <c r="F71" s="24"/>
      <c r="G71" s="24"/>
      <c r="H71" s="24"/>
      <c r="I71" s="24"/>
      <c r="J71" s="24"/>
      <c r="K71" s="24"/>
      <c r="L71" s="24"/>
      <c r="M71" s="24"/>
      <c r="N71" s="24"/>
      <c r="O71" s="24"/>
    </row>
    <row r="72" customFormat="false" ht="16.4" hidden="false" customHeight="false" outlineLevel="0" collapsed="false">
      <c r="A72" s="9" t="s">
        <v>378</v>
      </c>
      <c r="B72" s="13" t="s">
        <v>296</v>
      </c>
      <c r="C72" s="13" t="s">
        <v>379</v>
      </c>
      <c r="D72" s="30" t="s">
        <v>380</v>
      </c>
      <c r="E72" s="30" t="s">
        <v>37</v>
      </c>
      <c r="F72" s="24" t="n">
        <v>100</v>
      </c>
      <c r="G72" s="24" t="n">
        <v>100</v>
      </c>
      <c r="H72" s="24" t="n">
        <v>100</v>
      </c>
      <c r="I72" s="24" t="n">
        <v>100</v>
      </c>
      <c r="J72" s="24"/>
      <c r="K72" s="24"/>
      <c r="L72" s="24"/>
      <c r="M72" s="24"/>
      <c r="N72" s="24"/>
      <c r="O72" s="24"/>
    </row>
    <row r="73" customFormat="false" ht="15" hidden="false" customHeight="false" outlineLevel="0" collapsed="false">
      <c r="A73" s="18" t="s">
        <v>381</v>
      </c>
      <c r="D73" s="33"/>
      <c r="E73" s="33"/>
    </row>
    <row r="74" customFormat="false" ht="16.4" hidden="false" customHeight="false" outlineLevel="0" collapsed="false">
      <c r="A74" s="9" t="s">
        <v>382</v>
      </c>
      <c r="B74" s="13" t="s">
        <v>263</v>
      </c>
      <c r="C74" s="13" t="s">
        <v>62</v>
      </c>
      <c r="D74" s="30" t="s">
        <v>264</v>
      </c>
      <c r="E74" s="30" t="s">
        <v>98</v>
      </c>
      <c r="F74" s="32"/>
      <c r="G74" s="32"/>
      <c r="H74" s="32"/>
      <c r="I74" s="32"/>
      <c r="J74" s="32"/>
      <c r="K74" s="32"/>
      <c r="L74" s="32"/>
      <c r="M74" s="32"/>
      <c r="N74" s="32"/>
      <c r="O74" s="32"/>
    </row>
    <row r="75" customFormat="false" ht="31.3" hidden="false" customHeight="false" outlineLevel="0" collapsed="false">
      <c r="A75" s="9" t="s">
        <v>383</v>
      </c>
      <c r="B75" s="13" t="s">
        <v>368</v>
      </c>
      <c r="C75" s="13"/>
      <c r="D75" s="30" t="s">
        <v>369</v>
      </c>
      <c r="E75" s="30" t="s">
        <v>98</v>
      </c>
      <c r="F75" s="49"/>
      <c r="G75" s="49"/>
      <c r="H75" s="49"/>
      <c r="I75" s="49"/>
      <c r="J75" s="49"/>
      <c r="K75" s="49"/>
      <c r="L75" s="49"/>
      <c r="M75" s="49"/>
      <c r="N75" s="49"/>
      <c r="O75" s="49"/>
    </row>
    <row r="76" customFormat="false" ht="16.4" hidden="false" customHeight="false" outlineLevel="0" collapsed="false">
      <c r="A76" s="9" t="s">
        <v>384</v>
      </c>
      <c r="B76" s="13" t="s">
        <v>271</v>
      </c>
      <c r="C76" s="13" t="s">
        <v>272</v>
      </c>
      <c r="D76" s="30" t="s">
        <v>273</v>
      </c>
      <c r="E76" s="30" t="s">
        <v>194</v>
      </c>
      <c r="F76" s="24"/>
      <c r="G76" s="24"/>
      <c r="H76" s="24"/>
      <c r="I76" s="24"/>
      <c r="J76" s="24"/>
      <c r="K76" s="24"/>
      <c r="L76" s="24"/>
      <c r="M76" s="24"/>
      <c r="N76" s="24"/>
      <c r="O76" s="24"/>
    </row>
    <row r="77" customFormat="false" ht="16.4" hidden="false" customHeight="false" outlineLevel="0" collapsed="false">
      <c r="A77" s="9" t="s">
        <v>385</v>
      </c>
      <c r="B77" s="13" t="s">
        <v>275</v>
      </c>
      <c r="C77" s="13" t="s">
        <v>276</v>
      </c>
      <c r="D77" s="30" t="s">
        <v>277</v>
      </c>
      <c r="E77" s="30" t="s">
        <v>37</v>
      </c>
      <c r="F77" s="24"/>
      <c r="G77" s="24"/>
      <c r="H77" s="24"/>
      <c r="I77" s="24"/>
      <c r="J77" s="24"/>
      <c r="K77" s="24"/>
      <c r="L77" s="24"/>
      <c r="M77" s="24"/>
      <c r="N77" s="24"/>
      <c r="O77" s="24"/>
    </row>
    <row r="78" customFormat="false" ht="16.4" hidden="false" customHeight="false" outlineLevel="0" collapsed="false">
      <c r="A78" s="9" t="s">
        <v>386</v>
      </c>
      <c r="B78" s="13" t="s">
        <v>279</v>
      </c>
      <c r="C78" s="13" t="s">
        <v>280</v>
      </c>
      <c r="D78" s="30"/>
      <c r="E78" s="30" t="s">
        <v>37</v>
      </c>
      <c r="F78" s="24"/>
      <c r="G78" s="24"/>
      <c r="H78" s="24"/>
      <c r="I78" s="24"/>
      <c r="J78" s="24"/>
      <c r="K78" s="24"/>
      <c r="L78" s="24"/>
      <c r="M78" s="24"/>
      <c r="N78" s="24"/>
      <c r="O78" s="24"/>
    </row>
    <row r="79" customFormat="false" ht="31.3" hidden="false" customHeight="false" outlineLevel="0" collapsed="false">
      <c r="A79" s="9" t="s">
        <v>387</v>
      </c>
      <c r="B79" s="13" t="s">
        <v>282</v>
      </c>
      <c r="C79" s="13" t="s">
        <v>283</v>
      </c>
      <c r="D79" s="30" t="s">
        <v>284</v>
      </c>
      <c r="E79" s="30" t="s">
        <v>37</v>
      </c>
      <c r="F79" s="24"/>
      <c r="G79" s="24"/>
      <c r="H79" s="24"/>
      <c r="I79" s="24"/>
      <c r="J79" s="24"/>
      <c r="K79" s="24"/>
      <c r="L79" s="24"/>
      <c r="M79" s="24"/>
      <c r="N79" s="24"/>
      <c r="O79" s="24"/>
    </row>
    <row r="80" customFormat="false" ht="16.4" hidden="false" customHeight="false" outlineLevel="0" collapsed="false">
      <c r="A80" s="9" t="s">
        <v>388</v>
      </c>
      <c r="B80" s="13" t="s">
        <v>286</v>
      </c>
      <c r="C80" s="13" t="s">
        <v>287</v>
      </c>
      <c r="D80" s="30" t="s">
        <v>288</v>
      </c>
      <c r="E80" s="30" t="s">
        <v>37</v>
      </c>
      <c r="F80" s="24"/>
      <c r="G80" s="24"/>
      <c r="H80" s="24"/>
      <c r="I80" s="24"/>
      <c r="J80" s="24"/>
      <c r="K80" s="24"/>
      <c r="L80" s="24"/>
      <c r="M80" s="24"/>
      <c r="N80" s="24"/>
      <c r="O80" s="24"/>
    </row>
    <row r="81" customFormat="false" ht="16.4" hidden="false" customHeight="false" outlineLevel="0" collapsed="false">
      <c r="A81" s="9" t="s">
        <v>389</v>
      </c>
      <c r="B81" s="13" t="s">
        <v>290</v>
      </c>
      <c r="C81" s="13" t="s">
        <v>291</v>
      </c>
      <c r="D81" s="30"/>
      <c r="E81" s="30" t="s">
        <v>37</v>
      </c>
      <c r="F81" s="24"/>
      <c r="G81" s="24"/>
      <c r="H81" s="24"/>
      <c r="I81" s="24"/>
      <c r="J81" s="24"/>
      <c r="K81" s="24"/>
      <c r="L81" s="24"/>
      <c r="M81" s="24"/>
      <c r="N81" s="24"/>
      <c r="O81" s="24"/>
    </row>
    <row r="82" customFormat="false" ht="16.4" hidden="false" customHeight="false" outlineLevel="0" collapsed="false">
      <c r="A82" s="40" t="s">
        <v>390</v>
      </c>
      <c r="B82" s="13" t="s">
        <v>294</v>
      </c>
      <c r="C82" s="13" t="s">
        <v>291</v>
      </c>
      <c r="D82" s="30"/>
      <c r="E82" s="30" t="s">
        <v>37</v>
      </c>
      <c r="F82" s="24"/>
      <c r="G82" s="24"/>
      <c r="H82" s="24"/>
      <c r="I82" s="24"/>
      <c r="J82" s="24"/>
      <c r="K82" s="24"/>
      <c r="L82" s="24"/>
      <c r="M82" s="24"/>
      <c r="N82" s="24"/>
      <c r="O82" s="24"/>
    </row>
    <row r="83" customFormat="false" ht="16.4" hidden="false" customHeight="false" outlineLevel="0" collapsed="false">
      <c r="A83" s="9" t="s">
        <v>391</v>
      </c>
      <c r="B83" s="13" t="s">
        <v>296</v>
      </c>
      <c r="C83" s="13" t="s">
        <v>379</v>
      </c>
      <c r="D83" s="30" t="s">
        <v>380</v>
      </c>
      <c r="E83" s="30" t="s">
        <v>37</v>
      </c>
      <c r="F83" s="24"/>
      <c r="G83" s="24"/>
      <c r="H83" s="24"/>
      <c r="I83" s="24"/>
      <c r="J83" s="24"/>
      <c r="K83" s="24"/>
      <c r="L83" s="24"/>
      <c r="M83" s="24"/>
      <c r="N83" s="24"/>
      <c r="O83" s="24"/>
    </row>
    <row r="84" customFormat="false" ht="15" hidden="false" customHeight="false" outlineLevel="0" collapsed="false">
      <c r="A84" s="18" t="s">
        <v>392</v>
      </c>
      <c r="D84" s="33"/>
      <c r="E84" s="33"/>
    </row>
    <row r="85" customFormat="false" ht="16.4" hidden="false" customHeight="false" outlineLevel="0" collapsed="false">
      <c r="A85" s="9" t="s">
        <v>393</v>
      </c>
      <c r="B85" s="13" t="s">
        <v>263</v>
      </c>
      <c r="C85" s="13" t="s">
        <v>62</v>
      </c>
      <c r="D85" s="30" t="s">
        <v>264</v>
      </c>
      <c r="E85" s="30" t="s">
        <v>98</v>
      </c>
      <c r="F85" s="32"/>
      <c r="G85" s="32"/>
      <c r="H85" s="32"/>
      <c r="I85" s="32"/>
      <c r="J85" s="32"/>
      <c r="K85" s="32"/>
      <c r="L85" s="32"/>
      <c r="M85" s="32"/>
      <c r="N85" s="32"/>
      <c r="O85" s="32"/>
    </row>
    <row r="86" customFormat="false" ht="31.3" hidden="false" customHeight="false" outlineLevel="0" collapsed="false">
      <c r="A86" s="9" t="s">
        <v>394</v>
      </c>
      <c r="B86" s="13" t="s">
        <v>368</v>
      </c>
      <c r="C86" s="13"/>
      <c r="D86" s="30" t="s">
        <v>369</v>
      </c>
      <c r="E86" s="30" t="s">
        <v>98</v>
      </c>
      <c r="F86" s="49"/>
      <c r="G86" s="49"/>
      <c r="H86" s="49"/>
      <c r="I86" s="49"/>
      <c r="J86" s="49"/>
      <c r="K86" s="49"/>
      <c r="L86" s="49"/>
      <c r="M86" s="49"/>
      <c r="N86" s="49"/>
      <c r="O86" s="49"/>
    </row>
    <row r="87" customFormat="false" ht="16.4" hidden="false" customHeight="false" outlineLevel="0" collapsed="false">
      <c r="A87" s="9" t="s">
        <v>395</v>
      </c>
      <c r="B87" s="13" t="s">
        <v>271</v>
      </c>
      <c r="C87" s="13" t="s">
        <v>272</v>
      </c>
      <c r="D87" s="30" t="s">
        <v>273</v>
      </c>
      <c r="E87" s="30" t="s">
        <v>194</v>
      </c>
      <c r="F87" s="24"/>
      <c r="G87" s="24"/>
      <c r="H87" s="24"/>
      <c r="I87" s="24"/>
      <c r="J87" s="24"/>
      <c r="K87" s="24"/>
      <c r="L87" s="24"/>
      <c r="M87" s="24"/>
      <c r="N87" s="24"/>
      <c r="O87" s="24"/>
    </row>
    <row r="88" customFormat="false" ht="16.4" hidden="false" customHeight="false" outlineLevel="0" collapsed="false">
      <c r="A88" s="9" t="s">
        <v>396</v>
      </c>
      <c r="B88" s="13" t="s">
        <v>275</v>
      </c>
      <c r="C88" s="13" t="s">
        <v>276</v>
      </c>
      <c r="D88" s="30" t="s">
        <v>277</v>
      </c>
      <c r="E88" s="30" t="s">
        <v>37</v>
      </c>
      <c r="F88" s="24"/>
      <c r="G88" s="24"/>
      <c r="H88" s="24"/>
      <c r="I88" s="24"/>
      <c r="J88" s="24"/>
      <c r="K88" s="24"/>
      <c r="L88" s="24"/>
      <c r="M88" s="24"/>
      <c r="N88" s="24"/>
      <c r="O88" s="24"/>
    </row>
    <row r="89" customFormat="false" ht="16.4" hidden="false" customHeight="false" outlineLevel="0" collapsed="false">
      <c r="A89" s="9" t="s">
        <v>397</v>
      </c>
      <c r="B89" s="13" t="s">
        <v>279</v>
      </c>
      <c r="C89" s="13" t="s">
        <v>280</v>
      </c>
      <c r="D89" s="30"/>
      <c r="E89" s="30" t="s">
        <v>37</v>
      </c>
      <c r="F89" s="24"/>
      <c r="G89" s="24"/>
      <c r="H89" s="24"/>
      <c r="I89" s="24"/>
      <c r="J89" s="24"/>
      <c r="K89" s="24"/>
      <c r="L89" s="24"/>
      <c r="M89" s="24"/>
      <c r="N89" s="24"/>
      <c r="O89" s="24"/>
    </row>
    <row r="90" customFormat="false" ht="31.3" hidden="false" customHeight="false" outlineLevel="0" collapsed="false">
      <c r="A90" s="9" t="s">
        <v>398</v>
      </c>
      <c r="B90" s="13" t="s">
        <v>282</v>
      </c>
      <c r="C90" s="13" t="s">
        <v>283</v>
      </c>
      <c r="D90" s="30" t="s">
        <v>284</v>
      </c>
      <c r="E90" s="30" t="s">
        <v>37</v>
      </c>
      <c r="F90" s="24"/>
      <c r="G90" s="24"/>
      <c r="H90" s="24"/>
      <c r="I90" s="24"/>
      <c r="J90" s="24"/>
      <c r="K90" s="24"/>
      <c r="L90" s="24"/>
      <c r="M90" s="24"/>
      <c r="N90" s="24"/>
      <c r="O90" s="24"/>
    </row>
    <row r="91" customFormat="false" ht="16.4" hidden="false" customHeight="false" outlineLevel="0" collapsed="false">
      <c r="A91" s="9" t="s">
        <v>399</v>
      </c>
      <c r="B91" s="13" t="s">
        <v>286</v>
      </c>
      <c r="C91" s="13" t="s">
        <v>287</v>
      </c>
      <c r="D91" s="30" t="s">
        <v>288</v>
      </c>
      <c r="E91" s="30" t="s">
        <v>37</v>
      </c>
      <c r="F91" s="24"/>
      <c r="G91" s="24"/>
      <c r="H91" s="24"/>
      <c r="I91" s="24"/>
      <c r="J91" s="24"/>
      <c r="K91" s="24"/>
      <c r="L91" s="24"/>
      <c r="M91" s="24"/>
      <c r="N91" s="24"/>
      <c r="O91" s="24"/>
    </row>
    <row r="92" customFormat="false" ht="16.4" hidden="false" customHeight="false" outlineLevel="0" collapsed="false">
      <c r="A92" s="9" t="s">
        <v>400</v>
      </c>
      <c r="B92" s="13" t="s">
        <v>290</v>
      </c>
      <c r="C92" s="13" t="s">
        <v>291</v>
      </c>
      <c r="D92" s="30"/>
      <c r="E92" s="30" t="s">
        <v>37</v>
      </c>
      <c r="F92" s="24"/>
      <c r="G92" s="24"/>
      <c r="H92" s="24"/>
      <c r="I92" s="24"/>
      <c r="J92" s="24"/>
      <c r="K92" s="24"/>
      <c r="L92" s="24"/>
      <c r="M92" s="24"/>
      <c r="N92" s="24"/>
      <c r="O92" s="24"/>
    </row>
    <row r="93" customFormat="false" ht="16.4" hidden="false" customHeight="false" outlineLevel="0" collapsed="false">
      <c r="A93" s="40" t="s">
        <v>401</v>
      </c>
      <c r="B93" s="13" t="s">
        <v>294</v>
      </c>
      <c r="C93" s="13" t="s">
        <v>291</v>
      </c>
      <c r="D93" s="30"/>
      <c r="E93" s="30" t="s">
        <v>37</v>
      </c>
      <c r="F93" s="24"/>
      <c r="G93" s="24"/>
      <c r="H93" s="24"/>
      <c r="I93" s="24"/>
      <c r="J93" s="24"/>
      <c r="K93" s="24"/>
      <c r="L93" s="24"/>
      <c r="M93" s="24"/>
      <c r="N93" s="24"/>
      <c r="O93" s="24"/>
    </row>
    <row r="94" customFormat="false" ht="16.4" hidden="false" customHeight="false" outlineLevel="0" collapsed="false">
      <c r="A94" s="9" t="s">
        <v>402</v>
      </c>
      <c r="B94" s="13" t="s">
        <v>296</v>
      </c>
      <c r="C94" s="13" t="s">
        <v>379</v>
      </c>
      <c r="D94" s="30" t="s">
        <v>380</v>
      </c>
      <c r="E94" s="30" t="s">
        <v>37</v>
      </c>
      <c r="F94" s="24"/>
      <c r="G94" s="24"/>
      <c r="H94" s="24"/>
      <c r="I94" s="24"/>
      <c r="J94" s="24"/>
      <c r="K94" s="24"/>
      <c r="L94" s="24"/>
      <c r="M94" s="24"/>
      <c r="N94" s="24"/>
      <c r="O94" s="24"/>
    </row>
    <row r="95" customFormat="false" ht="15" hidden="false" customHeight="false" outlineLevel="0" collapsed="false">
      <c r="A95" s="18" t="s">
        <v>403</v>
      </c>
      <c r="D95" s="33"/>
      <c r="E95" s="33"/>
    </row>
    <row r="96" customFormat="false" ht="16.4" hidden="false" customHeight="false" outlineLevel="0" collapsed="false">
      <c r="A96" s="9" t="s">
        <v>404</v>
      </c>
      <c r="B96" s="13" t="s">
        <v>263</v>
      </c>
      <c r="C96" s="13" t="s">
        <v>62</v>
      </c>
      <c r="D96" s="30" t="s">
        <v>264</v>
      </c>
      <c r="E96" s="30" t="s">
        <v>98</v>
      </c>
      <c r="F96" s="32"/>
      <c r="G96" s="32"/>
      <c r="H96" s="32"/>
      <c r="I96" s="32"/>
      <c r="J96" s="32"/>
      <c r="K96" s="32"/>
      <c r="L96" s="32"/>
      <c r="M96" s="32"/>
      <c r="N96" s="32"/>
      <c r="O96" s="32"/>
    </row>
    <row r="97" customFormat="false" ht="31.3" hidden="false" customHeight="false" outlineLevel="0" collapsed="false">
      <c r="A97" s="9" t="s">
        <v>405</v>
      </c>
      <c r="B97" s="13" t="s">
        <v>368</v>
      </c>
      <c r="C97" s="13"/>
      <c r="D97" s="30" t="s">
        <v>369</v>
      </c>
      <c r="E97" s="30" t="s">
        <v>98</v>
      </c>
      <c r="F97" s="49"/>
      <c r="G97" s="49"/>
      <c r="H97" s="49"/>
      <c r="I97" s="49"/>
      <c r="J97" s="49"/>
      <c r="K97" s="49"/>
      <c r="L97" s="49"/>
      <c r="M97" s="49"/>
      <c r="N97" s="49"/>
      <c r="O97" s="49"/>
    </row>
    <row r="98" customFormat="false" ht="16.4" hidden="false" customHeight="false" outlineLevel="0" collapsed="false">
      <c r="A98" s="9" t="s">
        <v>406</v>
      </c>
      <c r="B98" s="13" t="s">
        <v>271</v>
      </c>
      <c r="C98" s="13" t="s">
        <v>272</v>
      </c>
      <c r="D98" s="30" t="s">
        <v>273</v>
      </c>
      <c r="E98" s="30" t="s">
        <v>194</v>
      </c>
      <c r="F98" s="24"/>
      <c r="G98" s="24"/>
      <c r="H98" s="24"/>
      <c r="I98" s="24"/>
      <c r="J98" s="24"/>
      <c r="K98" s="24"/>
      <c r="L98" s="24"/>
      <c r="M98" s="24"/>
      <c r="N98" s="24"/>
      <c r="O98" s="24"/>
    </row>
    <row r="99" customFormat="false" ht="16.4" hidden="false" customHeight="false" outlineLevel="0" collapsed="false">
      <c r="A99" s="9" t="s">
        <v>407</v>
      </c>
      <c r="B99" s="13" t="s">
        <v>275</v>
      </c>
      <c r="C99" s="13" t="s">
        <v>276</v>
      </c>
      <c r="D99" s="30" t="s">
        <v>277</v>
      </c>
      <c r="E99" s="30" t="s">
        <v>37</v>
      </c>
      <c r="F99" s="24"/>
      <c r="G99" s="24"/>
      <c r="H99" s="24"/>
      <c r="I99" s="24"/>
      <c r="J99" s="24"/>
      <c r="K99" s="24"/>
      <c r="L99" s="24"/>
      <c r="M99" s="24"/>
      <c r="N99" s="24"/>
      <c r="O99" s="24"/>
    </row>
    <row r="100" customFormat="false" ht="16.4" hidden="false" customHeight="false" outlineLevel="0" collapsed="false">
      <c r="A100" s="9" t="s">
        <v>408</v>
      </c>
      <c r="B100" s="13" t="s">
        <v>279</v>
      </c>
      <c r="C100" s="13" t="s">
        <v>280</v>
      </c>
      <c r="D100" s="30"/>
      <c r="E100" s="30" t="s">
        <v>37</v>
      </c>
      <c r="F100" s="24"/>
      <c r="G100" s="24"/>
      <c r="H100" s="24"/>
      <c r="I100" s="24"/>
      <c r="J100" s="24"/>
      <c r="K100" s="24"/>
      <c r="L100" s="24"/>
      <c r="M100" s="24"/>
      <c r="N100" s="24"/>
      <c r="O100" s="24"/>
    </row>
    <row r="101" customFormat="false" ht="31.3" hidden="false" customHeight="false" outlineLevel="0" collapsed="false">
      <c r="A101" s="9" t="s">
        <v>409</v>
      </c>
      <c r="B101" s="13" t="s">
        <v>282</v>
      </c>
      <c r="C101" s="13" t="s">
        <v>283</v>
      </c>
      <c r="D101" s="30" t="s">
        <v>284</v>
      </c>
      <c r="E101" s="30" t="s">
        <v>37</v>
      </c>
      <c r="F101" s="24"/>
      <c r="G101" s="24"/>
      <c r="H101" s="24"/>
      <c r="I101" s="24"/>
      <c r="J101" s="24"/>
      <c r="K101" s="24"/>
      <c r="L101" s="24"/>
      <c r="M101" s="24"/>
      <c r="N101" s="24"/>
      <c r="O101" s="24"/>
    </row>
    <row r="102" customFormat="false" ht="16.4" hidden="false" customHeight="false" outlineLevel="0" collapsed="false">
      <c r="A102" s="9" t="s">
        <v>410</v>
      </c>
      <c r="B102" s="13" t="s">
        <v>286</v>
      </c>
      <c r="C102" s="13" t="s">
        <v>287</v>
      </c>
      <c r="D102" s="30" t="s">
        <v>288</v>
      </c>
      <c r="E102" s="30" t="s">
        <v>37</v>
      </c>
      <c r="F102" s="24"/>
      <c r="G102" s="24"/>
      <c r="H102" s="24"/>
      <c r="I102" s="24"/>
      <c r="J102" s="24"/>
      <c r="K102" s="24"/>
      <c r="L102" s="24"/>
      <c r="M102" s="24"/>
      <c r="N102" s="24"/>
      <c r="O102" s="24"/>
    </row>
    <row r="103" customFormat="false" ht="16.4" hidden="false" customHeight="false" outlineLevel="0" collapsed="false">
      <c r="A103" s="9" t="s">
        <v>411</v>
      </c>
      <c r="B103" s="13" t="s">
        <v>290</v>
      </c>
      <c r="C103" s="13" t="s">
        <v>291</v>
      </c>
      <c r="D103" s="30"/>
      <c r="E103" s="30" t="s">
        <v>37</v>
      </c>
      <c r="F103" s="24"/>
      <c r="G103" s="24"/>
      <c r="H103" s="24"/>
      <c r="I103" s="24"/>
      <c r="J103" s="24"/>
      <c r="K103" s="24"/>
      <c r="L103" s="24"/>
      <c r="M103" s="24"/>
      <c r="N103" s="24"/>
      <c r="O103" s="24"/>
    </row>
    <row r="104" customFormat="false" ht="16.4" hidden="false" customHeight="false" outlineLevel="0" collapsed="false">
      <c r="A104" s="40" t="s">
        <v>412</v>
      </c>
      <c r="B104" s="13" t="s">
        <v>294</v>
      </c>
      <c r="C104" s="13" t="s">
        <v>291</v>
      </c>
      <c r="D104" s="30"/>
      <c r="E104" s="30" t="s">
        <v>37</v>
      </c>
      <c r="F104" s="24"/>
      <c r="G104" s="24"/>
      <c r="H104" s="24"/>
      <c r="I104" s="24"/>
      <c r="J104" s="24"/>
      <c r="K104" s="24"/>
      <c r="L104" s="24"/>
      <c r="M104" s="24"/>
      <c r="N104" s="24"/>
      <c r="O104" s="24"/>
    </row>
    <row r="105" customFormat="false" ht="16.4" hidden="false" customHeight="false" outlineLevel="0" collapsed="false">
      <c r="A105" s="9" t="s">
        <v>413</v>
      </c>
      <c r="B105" s="13" t="s">
        <v>296</v>
      </c>
      <c r="C105" s="13" t="s">
        <v>379</v>
      </c>
      <c r="D105" s="30" t="s">
        <v>380</v>
      </c>
      <c r="E105" s="30" t="s">
        <v>37</v>
      </c>
      <c r="F105" s="24"/>
      <c r="G105" s="24"/>
      <c r="H105" s="24"/>
      <c r="I105" s="24"/>
      <c r="J105" s="24"/>
      <c r="K105" s="24"/>
      <c r="L105" s="24"/>
      <c r="M105" s="24"/>
      <c r="N105" s="24"/>
      <c r="O105" s="24"/>
    </row>
    <row r="106" customFormat="false" ht="15" hidden="false" customHeight="false" outlineLevel="0" collapsed="false">
      <c r="A106" s="18" t="s">
        <v>414</v>
      </c>
      <c r="D106" s="33"/>
      <c r="E106" s="33"/>
    </row>
    <row r="107" customFormat="false" ht="16.4" hidden="false" customHeight="false" outlineLevel="0" collapsed="false">
      <c r="A107" s="9" t="s">
        <v>415</v>
      </c>
      <c r="B107" s="13" t="s">
        <v>416</v>
      </c>
      <c r="C107" s="13" t="s">
        <v>62</v>
      </c>
      <c r="D107" s="30" t="s">
        <v>417</v>
      </c>
      <c r="E107" s="30" t="s">
        <v>98</v>
      </c>
      <c r="F107" s="49" t="s">
        <v>418</v>
      </c>
      <c r="G107" s="49" t="s">
        <v>418</v>
      </c>
      <c r="H107" s="49" t="s">
        <v>418</v>
      </c>
      <c r="I107" s="49" t="s">
        <v>418</v>
      </c>
      <c r="J107" s="49"/>
      <c r="K107" s="49"/>
      <c r="L107" s="49"/>
      <c r="M107" s="49"/>
      <c r="N107" s="49"/>
      <c r="O107" s="49"/>
    </row>
    <row r="108" customFormat="false" ht="16.4" hidden="false" customHeight="false" outlineLevel="0" collapsed="false">
      <c r="A108" s="9" t="s">
        <v>419</v>
      </c>
      <c r="B108" s="13" t="s">
        <v>271</v>
      </c>
      <c r="C108" s="13" t="s">
        <v>272</v>
      </c>
      <c r="D108" s="30" t="s">
        <v>420</v>
      </c>
      <c r="E108" s="30" t="s">
        <v>194</v>
      </c>
      <c r="F108" s="24" t="n">
        <v>15</v>
      </c>
      <c r="G108" s="24" t="n">
        <v>15</v>
      </c>
      <c r="H108" s="24" t="n">
        <v>15</v>
      </c>
      <c r="I108" s="24" t="n">
        <v>15</v>
      </c>
      <c r="J108" s="24"/>
      <c r="K108" s="24"/>
      <c r="L108" s="24"/>
      <c r="M108" s="24"/>
      <c r="N108" s="24"/>
      <c r="O108" s="24"/>
    </row>
    <row r="109" customFormat="false" ht="16.4" hidden="false" customHeight="false" outlineLevel="0" collapsed="false">
      <c r="A109" s="9" t="s">
        <v>421</v>
      </c>
      <c r="B109" s="13" t="s">
        <v>275</v>
      </c>
      <c r="C109" s="13" t="s">
        <v>353</v>
      </c>
      <c r="D109" s="30" t="s">
        <v>422</v>
      </c>
      <c r="E109" s="30" t="s">
        <v>37</v>
      </c>
      <c r="F109" s="24" t="n">
        <v>1000</v>
      </c>
      <c r="G109" s="24" t="n">
        <v>1000</v>
      </c>
      <c r="H109" s="24" t="n">
        <v>1000</v>
      </c>
      <c r="I109" s="24" t="n">
        <v>1000</v>
      </c>
      <c r="J109" s="24"/>
      <c r="K109" s="24"/>
      <c r="L109" s="24"/>
      <c r="M109" s="24"/>
      <c r="N109" s="24"/>
      <c r="O109" s="24"/>
    </row>
    <row r="110" customFormat="false" ht="31.3" hidden="false" customHeight="false" outlineLevel="0" collapsed="false">
      <c r="A110" s="9" t="s">
        <v>423</v>
      </c>
      <c r="B110" s="13" t="s">
        <v>279</v>
      </c>
      <c r="C110" s="13" t="s">
        <v>280</v>
      </c>
      <c r="D110" s="30" t="s">
        <v>424</v>
      </c>
      <c r="E110" s="30" t="s">
        <v>37</v>
      </c>
      <c r="F110" s="24"/>
      <c r="G110" s="24"/>
      <c r="H110" s="24"/>
      <c r="I110" s="24"/>
      <c r="J110" s="24"/>
      <c r="K110" s="24"/>
      <c r="L110" s="24"/>
      <c r="M110" s="24"/>
      <c r="N110" s="24"/>
      <c r="O110" s="24"/>
    </row>
    <row r="111" customFormat="false" ht="16.4" hidden="false" customHeight="false" outlineLevel="0" collapsed="false">
      <c r="A111" s="9" t="s">
        <v>425</v>
      </c>
      <c r="B111" s="13" t="s">
        <v>282</v>
      </c>
      <c r="C111" s="13" t="s">
        <v>283</v>
      </c>
      <c r="D111" s="30" t="s">
        <v>426</v>
      </c>
      <c r="E111" s="30" t="s">
        <v>37</v>
      </c>
      <c r="F111" s="24" t="n">
        <f aca="false">120000*0.5</f>
        <v>60000</v>
      </c>
      <c r="G111" s="24" t="n">
        <f aca="false">120000*0.5</f>
        <v>60000</v>
      </c>
      <c r="H111" s="24" t="n">
        <f aca="false">120000*0.5</f>
        <v>60000</v>
      </c>
      <c r="I111" s="24" t="n">
        <f aca="false">120000*0.5</f>
        <v>60000</v>
      </c>
      <c r="J111" s="24"/>
      <c r="K111" s="24"/>
      <c r="L111" s="24"/>
      <c r="M111" s="24"/>
      <c r="N111" s="24"/>
      <c r="O111" s="24"/>
    </row>
    <row r="112" customFormat="false" ht="16.4" hidden="false" customHeight="false" outlineLevel="0" collapsed="false">
      <c r="A112" s="9" t="s">
        <v>427</v>
      </c>
      <c r="B112" s="13" t="s">
        <v>286</v>
      </c>
      <c r="C112" s="13" t="s">
        <v>287</v>
      </c>
      <c r="D112" s="30"/>
      <c r="E112" s="30" t="s">
        <v>37</v>
      </c>
      <c r="F112" s="24"/>
      <c r="G112" s="24"/>
      <c r="H112" s="24"/>
      <c r="I112" s="24"/>
      <c r="J112" s="24"/>
      <c r="K112" s="24"/>
      <c r="L112" s="24"/>
      <c r="M112" s="24"/>
      <c r="N112" s="24"/>
      <c r="O112" s="24"/>
    </row>
    <row r="113" customFormat="false" ht="16.4" hidden="false" customHeight="false" outlineLevel="0" collapsed="false">
      <c r="A113" s="9" t="s">
        <v>428</v>
      </c>
      <c r="B113" s="13" t="s">
        <v>359</v>
      </c>
      <c r="C113" s="13" t="s">
        <v>56</v>
      </c>
      <c r="D113" s="30"/>
      <c r="E113" s="30" t="s">
        <v>37</v>
      </c>
      <c r="F113" s="24" t="n">
        <v>0</v>
      </c>
      <c r="G113" s="24"/>
      <c r="H113" s="24"/>
      <c r="I113" s="24"/>
      <c r="J113" s="24"/>
      <c r="K113" s="24"/>
      <c r="L113" s="24"/>
      <c r="M113" s="24"/>
      <c r="N113" s="24"/>
      <c r="O113" s="24"/>
    </row>
    <row r="114" customFormat="false" ht="16.4" hidden="false" customHeight="false" outlineLevel="0" collapsed="false">
      <c r="A114" s="40" t="s">
        <v>429</v>
      </c>
      <c r="B114" s="13" t="s">
        <v>294</v>
      </c>
      <c r="C114" s="13" t="s">
        <v>56</v>
      </c>
      <c r="D114" s="30"/>
      <c r="E114" s="30" t="s">
        <v>37</v>
      </c>
      <c r="F114" s="24"/>
      <c r="G114" s="24"/>
      <c r="H114" s="24"/>
      <c r="I114" s="24"/>
      <c r="J114" s="24"/>
      <c r="K114" s="24"/>
      <c r="L114" s="24"/>
      <c r="M114" s="24"/>
      <c r="N114" s="24"/>
      <c r="O114" s="24"/>
    </row>
    <row r="115" customFormat="false" ht="16.4" hidden="false" customHeight="false" outlineLevel="0" collapsed="false">
      <c r="A115" s="9" t="s">
        <v>430</v>
      </c>
      <c r="B115" s="13" t="s">
        <v>362</v>
      </c>
      <c r="C115" s="13" t="s">
        <v>431</v>
      </c>
      <c r="D115" s="30" t="s">
        <v>432</v>
      </c>
      <c r="E115" s="30" t="s">
        <v>37</v>
      </c>
      <c r="F115" s="24"/>
      <c r="G115" s="24"/>
      <c r="H115" s="24"/>
      <c r="I115" s="24"/>
      <c r="J115" s="24"/>
      <c r="K115" s="24"/>
      <c r="L115" s="24"/>
      <c r="M115" s="24"/>
      <c r="N115" s="24"/>
      <c r="O115" s="24"/>
    </row>
    <row r="116" customFormat="false" ht="15" hidden="false" customHeight="false" outlineLevel="0" collapsed="false">
      <c r="A116" s="18" t="s">
        <v>433</v>
      </c>
      <c r="D116" s="33"/>
      <c r="E116" s="33"/>
    </row>
    <row r="117" customFormat="false" ht="16.4" hidden="false" customHeight="false" outlineLevel="0" collapsed="false">
      <c r="A117" s="9" t="s">
        <v>434</v>
      </c>
      <c r="B117" s="13" t="s">
        <v>416</v>
      </c>
      <c r="C117" s="13" t="s">
        <v>62</v>
      </c>
      <c r="D117" s="30" t="s">
        <v>417</v>
      </c>
      <c r="E117" s="30" t="s">
        <v>98</v>
      </c>
      <c r="F117" s="49" t="s">
        <v>435</v>
      </c>
      <c r="G117" s="49" t="s">
        <v>435</v>
      </c>
      <c r="H117" s="49" t="s">
        <v>435</v>
      </c>
      <c r="I117" s="49" t="s">
        <v>435</v>
      </c>
      <c r="J117" s="49"/>
      <c r="K117" s="49"/>
      <c r="L117" s="49"/>
      <c r="M117" s="49"/>
      <c r="N117" s="49"/>
      <c r="O117" s="49"/>
    </row>
    <row r="118" customFormat="false" ht="16.4" hidden="false" customHeight="false" outlineLevel="0" collapsed="false">
      <c r="A118" s="9" t="s">
        <v>436</v>
      </c>
      <c r="B118" s="13" t="s">
        <v>271</v>
      </c>
      <c r="C118" s="13" t="s">
        <v>272</v>
      </c>
      <c r="D118" s="30" t="s">
        <v>420</v>
      </c>
      <c r="E118" s="30" t="s">
        <v>194</v>
      </c>
      <c r="F118" s="24" t="n">
        <v>15</v>
      </c>
      <c r="G118" s="24" t="n">
        <v>15</v>
      </c>
      <c r="H118" s="24" t="n">
        <v>15</v>
      </c>
      <c r="I118" s="24" t="n">
        <v>15</v>
      </c>
      <c r="J118" s="24"/>
      <c r="K118" s="24"/>
      <c r="L118" s="24"/>
      <c r="M118" s="24"/>
      <c r="N118" s="24"/>
      <c r="O118" s="24"/>
    </row>
    <row r="119" customFormat="false" ht="16.4" hidden="false" customHeight="false" outlineLevel="0" collapsed="false">
      <c r="A119" s="9" t="s">
        <v>437</v>
      </c>
      <c r="B119" s="13" t="s">
        <v>275</v>
      </c>
      <c r="C119" s="13" t="s">
        <v>353</v>
      </c>
      <c r="D119" s="30" t="s">
        <v>422</v>
      </c>
      <c r="E119" s="30" t="s">
        <v>37</v>
      </c>
      <c r="F119" s="24" t="n">
        <v>500</v>
      </c>
      <c r="G119" s="24" t="n">
        <v>500</v>
      </c>
      <c r="H119" s="24" t="n">
        <v>500</v>
      </c>
      <c r="I119" s="24" t="n">
        <v>500</v>
      </c>
      <c r="J119" s="24"/>
      <c r="K119" s="24"/>
      <c r="L119" s="24"/>
      <c r="M119" s="24"/>
      <c r="N119" s="24"/>
      <c r="O119" s="24"/>
    </row>
    <row r="120" customFormat="false" ht="31.3" hidden="false" customHeight="false" outlineLevel="0" collapsed="false">
      <c r="A120" s="9" t="s">
        <v>438</v>
      </c>
      <c r="B120" s="13" t="s">
        <v>279</v>
      </c>
      <c r="C120" s="13" t="s">
        <v>280</v>
      </c>
      <c r="D120" s="30" t="s">
        <v>424</v>
      </c>
      <c r="E120" s="30" t="s">
        <v>37</v>
      </c>
      <c r="F120" s="24"/>
      <c r="G120" s="24"/>
      <c r="H120" s="24"/>
      <c r="I120" s="24"/>
      <c r="J120" s="24"/>
      <c r="K120" s="24"/>
      <c r="L120" s="24"/>
      <c r="M120" s="24"/>
      <c r="N120" s="24"/>
      <c r="O120" s="24"/>
    </row>
    <row r="121" customFormat="false" ht="16.4" hidden="false" customHeight="false" outlineLevel="0" collapsed="false">
      <c r="A121" s="9" t="s">
        <v>439</v>
      </c>
      <c r="B121" s="13" t="s">
        <v>282</v>
      </c>
      <c r="C121" s="13" t="s">
        <v>283</v>
      </c>
      <c r="D121" s="30" t="s">
        <v>426</v>
      </c>
      <c r="E121" s="30" t="s">
        <v>37</v>
      </c>
      <c r="F121" s="24"/>
      <c r="G121" s="24"/>
      <c r="H121" s="24"/>
      <c r="I121" s="24"/>
      <c r="J121" s="24"/>
      <c r="K121" s="24"/>
      <c r="L121" s="24"/>
      <c r="M121" s="24"/>
      <c r="N121" s="24"/>
      <c r="O121" s="24"/>
    </row>
    <row r="122" customFormat="false" ht="16.4" hidden="false" customHeight="false" outlineLevel="0" collapsed="false">
      <c r="A122" s="9" t="s">
        <v>440</v>
      </c>
      <c r="B122" s="13" t="s">
        <v>286</v>
      </c>
      <c r="C122" s="13" t="s">
        <v>287</v>
      </c>
      <c r="D122" s="30"/>
      <c r="E122" s="30" t="s">
        <v>37</v>
      </c>
      <c r="F122" s="24"/>
      <c r="G122" s="24"/>
      <c r="H122" s="24"/>
      <c r="I122" s="24"/>
      <c r="J122" s="24"/>
      <c r="K122" s="24"/>
      <c r="L122" s="24"/>
      <c r="M122" s="24"/>
      <c r="N122" s="24"/>
      <c r="O122" s="24"/>
    </row>
    <row r="123" customFormat="false" ht="16.4" hidden="false" customHeight="false" outlineLevel="0" collapsed="false">
      <c r="A123" s="9" t="s">
        <v>441</v>
      </c>
      <c r="B123" s="13" t="s">
        <v>359</v>
      </c>
      <c r="C123" s="13" t="s">
        <v>56</v>
      </c>
      <c r="D123" s="30"/>
      <c r="E123" s="30" t="s">
        <v>37</v>
      </c>
      <c r="F123" s="24" t="n">
        <v>0</v>
      </c>
      <c r="G123" s="24" t="n">
        <v>0</v>
      </c>
      <c r="H123" s="24" t="n">
        <v>0</v>
      </c>
      <c r="I123" s="24" t="n">
        <v>0</v>
      </c>
      <c r="J123" s="24"/>
      <c r="K123" s="24"/>
      <c r="L123" s="24"/>
      <c r="M123" s="24"/>
      <c r="N123" s="24"/>
      <c r="O123" s="24"/>
    </row>
    <row r="124" customFormat="false" ht="16.4" hidden="false" customHeight="false" outlineLevel="0" collapsed="false">
      <c r="A124" s="9" t="s">
        <v>442</v>
      </c>
      <c r="B124" s="13" t="s">
        <v>294</v>
      </c>
      <c r="C124" s="13" t="s">
        <v>56</v>
      </c>
      <c r="D124" s="30"/>
      <c r="E124" s="30" t="s">
        <v>37</v>
      </c>
      <c r="F124" s="24"/>
      <c r="G124" s="24"/>
      <c r="H124" s="24"/>
      <c r="I124" s="24"/>
      <c r="J124" s="24"/>
      <c r="K124" s="24"/>
      <c r="L124" s="24"/>
      <c r="M124" s="24"/>
      <c r="N124" s="24"/>
      <c r="O124" s="24"/>
    </row>
    <row r="125" customFormat="false" ht="16.4" hidden="false" customHeight="false" outlineLevel="0" collapsed="false">
      <c r="A125" s="9" t="s">
        <v>443</v>
      </c>
      <c r="B125" s="13" t="s">
        <v>362</v>
      </c>
      <c r="C125" s="13" t="s">
        <v>431</v>
      </c>
      <c r="D125" s="30" t="s">
        <v>432</v>
      </c>
      <c r="E125" s="30" t="s">
        <v>37</v>
      </c>
      <c r="F125" s="24"/>
      <c r="G125" s="24"/>
      <c r="H125" s="24"/>
      <c r="I125" s="24"/>
      <c r="J125" s="24"/>
      <c r="K125" s="24"/>
      <c r="L125" s="24"/>
      <c r="M125" s="24"/>
      <c r="N125" s="24"/>
      <c r="O125" s="24"/>
    </row>
    <row r="126" customFormat="false" ht="15" hidden="false" customHeight="false" outlineLevel="0" collapsed="false">
      <c r="A126" s="18" t="s">
        <v>444</v>
      </c>
      <c r="D126" s="33"/>
      <c r="E126" s="33"/>
    </row>
    <row r="127" customFormat="false" ht="16.4" hidden="false" customHeight="false" outlineLevel="0" collapsed="false">
      <c r="A127" s="9" t="s">
        <v>445</v>
      </c>
      <c r="B127" s="13" t="s">
        <v>446</v>
      </c>
      <c r="C127" s="13" t="s">
        <v>268</v>
      </c>
      <c r="D127" s="30"/>
      <c r="E127" s="30" t="s">
        <v>37</v>
      </c>
      <c r="F127" s="49" t="n">
        <v>0.9</v>
      </c>
      <c r="G127" s="49" t="n">
        <v>0.9</v>
      </c>
      <c r="H127" s="49" t="n">
        <v>0.9</v>
      </c>
      <c r="I127" s="49" t="n">
        <v>0.9</v>
      </c>
      <c r="J127" s="49"/>
      <c r="K127" s="49"/>
      <c r="L127" s="49"/>
      <c r="M127" s="49"/>
      <c r="N127" s="49"/>
      <c r="O127" s="49"/>
    </row>
    <row r="128" customFormat="false" ht="16.4" hidden="false" customHeight="false" outlineLevel="0" collapsed="false">
      <c r="A128" s="9" t="s">
        <v>447</v>
      </c>
      <c r="B128" s="13" t="s">
        <v>271</v>
      </c>
      <c r="C128" s="13" t="s">
        <v>272</v>
      </c>
      <c r="D128" s="30" t="s">
        <v>448</v>
      </c>
      <c r="E128" s="30" t="s">
        <v>194</v>
      </c>
      <c r="F128" s="24" t="n">
        <v>25</v>
      </c>
      <c r="G128" s="24" t="n">
        <v>25</v>
      </c>
      <c r="H128" s="24" t="n">
        <v>25</v>
      </c>
      <c r="I128" s="24" t="n">
        <v>25</v>
      </c>
      <c r="J128" s="24"/>
      <c r="K128" s="24"/>
      <c r="L128" s="24"/>
      <c r="M128" s="24"/>
      <c r="N128" s="24"/>
      <c r="O128" s="24"/>
    </row>
    <row r="129" customFormat="false" ht="16.4" hidden="false" customHeight="false" outlineLevel="0" collapsed="false">
      <c r="A129" s="9" t="s">
        <v>449</v>
      </c>
      <c r="B129" s="13" t="s">
        <v>275</v>
      </c>
      <c r="C129" s="13" t="s">
        <v>353</v>
      </c>
      <c r="D129" s="30" t="s">
        <v>422</v>
      </c>
      <c r="E129" s="30" t="s">
        <v>37</v>
      </c>
      <c r="F129" s="24" t="n">
        <v>40</v>
      </c>
      <c r="G129" s="24" t="n">
        <v>40</v>
      </c>
      <c r="H129" s="24" t="n">
        <v>40</v>
      </c>
      <c r="I129" s="24" t="n">
        <v>40</v>
      </c>
      <c r="J129" s="24"/>
      <c r="K129" s="24"/>
      <c r="L129" s="24"/>
      <c r="M129" s="24"/>
      <c r="N129" s="24"/>
      <c r="O129" s="24"/>
    </row>
    <row r="130" customFormat="false" ht="31.3" hidden="false" customHeight="false" outlineLevel="0" collapsed="false">
      <c r="A130" s="9" t="s">
        <v>450</v>
      </c>
      <c r="B130" s="13" t="s">
        <v>279</v>
      </c>
      <c r="C130" s="13" t="s">
        <v>280</v>
      </c>
      <c r="D130" s="30" t="s">
        <v>424</v>
      </c>
      <c r="E130" s="30" t="s">
        <v>37</v>
      </c>
      <c r="F130" s="24"/>
      <c r="G130" s="24"/>
      <c r="H130" s="24"/>
      <c r="I130" s="24"/>
      <c r="J130" s="24"/>
      <c r="K130" s="24"/>
      <c r="L130" s="24"/>
      <c r="M130" s="24"/>
      <c r="N130" s="24"/>
      <c r="O130" s="24"/>
    </row>
    <row r="131" customFormat="false" ht="16.4" hidden="false" customHeight="false" outlineLevel="0" collapsed="false">
      <c r="A131" s="9" t="s">
        <v>451</v>
      </c>
      <c r="B131" s="13" t="s">
        <v>282</v>
      </c>
      <c r="C131" s="13" t="s">
        <v>283</v>
      </c>
      <c r="D131" s="30"/>
      <c r="E131" s="30" t="s">
        <v>37</v>
      </c>
      <c r="F131" s="24"/>
      <c r="G131" s="24"/>
      <c r="H131" s="24"/>
      <c r="I131" s="24"/>
      <c r="J131" s="24"/>
      <c r="K131" s="24"/>
      <c r="L131" s="24"/>
      <c r="M131" s="24"/>
      <c r="N131" s="24"/>
      <c r="O131" s="24"/>
    </row>
    <row r="132" customFormat="false" ht="16.4" hidden="false" customHeight="false" outlineLevel="0" collapsed="false">
      <c r="A132" s="9" t="s">
        <v>452</v>
      </c>
      <c r="B132" s="13" t="s">
        <v>286</v>
      </c>
      <c r="C132" s="13" t="s">
        <v>287</v>
      </c>
      <c r="D132" s="30"/>
      <c r="E132" s="30" t="s">
        <v>37</v>
      </c>
      <c r="F132" s="24"/>
      <c r="G132" s="24"/>
      <c r="H132" s="24"/>
      <c r="I132" s="24"/>
      <c r="J132" s="24"/>
      <c r="K132" s="24"/>
      <c r="L132" s="24"/>
      <c r="M132" s="24"/>
      <c r="N132" s="24"/>
      <c r="O132" s="24"/>
    </row>
    <row r="133" customFormat="false" ht="16.4" hidden="false" customHeight="false" outlineLevel="0" collapsed="false">
      <c r="A133" s="9" t="s">
        <v>453</v>
      </c>
      <c r="B133" s="13" t="s">
        <v>359</v>
      </c>
      <c r="C133" s="13" t="s">
        <v>56</v>
      </c>
      <c r="D133" s="30"/>
      <c r="E133" s="30" t="s">
        <v>37</v>
      </c>
      <c r="F133" s="24" t="n">
        <v>0</v>
      </c>
      <c r="G133" s="24" t="n">
        <v>0</v>
      </c>
      <c r="H133" s="24"/>
      <c r="I133" s="24"/>
      <c r="J133" s="24"/>
      <c r="K133" s="24"/>
      <c r="L133" s="24"/>
      <c r="M133" s="24"/>
      <c r="N133" s="24"/>
      <c r="O133" s="24"/>
    </row>
    <row r="134" customFormat="false" ht="16.4" hidden="false" customHeight="false" outlineLevel="0" collapsed="false">
      <c r="A134" s="9" t="s">
        <v>454</v>
      </c>
      <c r="B134" s="13" t="s">
        <v>294</v>
      </c>
      <c r="C134" s="13" t="s">
        <v>56</v>
      </c>
      <c r="D134" s="30"/>
      <c r="E134" s="30" t="s">
        <v>37</v>
      </c>
      <c r="F134" s="24"/>
      <c r="G134" s="24"/>
      <c r="H134" s="24"/>
      <c r="I134" s="24"/>
      <c r="J134" s="24"/>
      <c r="K134" s="24"/>
      <c r="L134" s="24"/>
      <c r="M134" s="24"/>
      <c r="N134" s="24"/>
      <c r="O134" s="24"/>
    </row>
    <row r="135" customFormat="false" ht="16.4" hidden="false" customHeight="false" outlineLevel="0" collapsed="false">
      <c r="A135" s="9" t="s">
        <v>455</v>
      </c>
      <c r="B135" s="13" t="s">
        <v>362</v>
      </c>
      <c r="C135" s="13" t="s">
        <v>431</v>
      </c>
      <c r="D135" s="30" t="s">
        <v>432</v>
      </c>
      <c r="E135" s="30" t="s">
        <v>37</v>
      </c>
      <c r="F135" s="24"/>
      <c r="G135" s="24"/>
      <c r="H135" s="24"/>
      <c r="I135" s="24"/>
      <c r="J135" s="24"/>
      <c r="K135" s="24"/>
      <c r="L135" s="24"/>
      <c r="M135" s="24"/>
      <c r="N135" s="24"/>
      <c r="O135" s="24"/>
    </row>
    <row r="136" customFormat="false" ht="15" hidden="false" customHeight="false" outlineLevel="0" collapsed="false">
      <c r="A136" s="18" t="s">
        <v>456</v>
      </c>
      <c r="D136" s="33"/>
      <c r="E136" s="33"/>
    </row>
    <row r="137" customFormat="false" ht="16.4" hidden="false" customHeight="false" outlineLevel="0" collapsed="false">
      <c r="A137" s="9" t="s">
        <v>457</v>
      </c>
      <c r="B137" s="13" t="s">
        <v>334</v>
      </c>
      <c r="C137" s="13" t="s">
        <v>268</v>
      </c>
      <c r="D137" s="30" t="s">
        <v>458</v>
      </c>
      <c r="E137" s="30" t="s">
        <v>37</v>
      </c>
      <c r="F137" s="49" t="n">
        <v>0.99</v>
      </c>
      <c r="G137" s="49" t="n">
        <v>0.99</v>
      </c>
      <c r="H137" s="49" t="n">
        <v>0.99</v>
      </c>
      <c r="I137" s="49" t="n">
        <v>0.99</v>
      </c>
      <c r="J137" s="49"/>
      <c r="K137" s="49"/>
      <c r="L137" s="49"/>
      <c r="M137" s="49"/>
      <c r="N137" s="49"/>
      <c r="O137" s="49"/>
    </row>
    <row r="138" customFormat="false" ht="16.4" hidden="false" customHeight="false" outlineLevel="0" collapsed="false">
      <c r="A138" s="9" t="s">
        <v>459</v>
      </c>
      <c r="B138" s="13" t="s">
        <v>337</v>
      </c>
      <c r="C138" s="13" t="s">
        <v>268</v>
      </c>
      <c r="D138" s="30" t="s">
        <v>458</v>
      </c>
      <c r="E138" s="30" t="s">
        <v>37</v>
      </c>
      <c r="F138" s="49" t="n">
        <v>0.99</v>
      </c>
      <c r="G138" s="49" t="n">
        <v>0.99</v>
      </c>
      <c r="H138" s="49" t="n">
        <v>0.99</v>
      </c>
      <c r="I138" s="49" t="n">
        <v>0.99</v>
      </c>
      <c r="J138" s="49"/>
      <c r="K138" s="49"/>
      <c r="L138" s="49"/>
      <c r="M138" s="49"/>
      <c r="N138" s="49"/>
      <c r="O138" s="49"/>
    </row>
    <row r="139" customFormat="false" ht="16.4" hidden="false" customHeight="false" outlineLevel="0" collapsed="false">
      <c r="A139" s="9" t="s">
        <v>460</v>
      </c>
      <c r="B139" s="13" t="s">
        <v>339</v>
      </c>
      <c r="C139" s="13" t="s">
        <v>268</v>
      </c>
      <c r="D139" s="30" t="s">
        <v>461</v>
      </c>
      <c r="E139" s="30" t="s">
        <v>37</v>
      </c>
      <c r="F139" s="51" t="n">
        <v>0.995</v>
      </c>
      <c r="G139" s="51" t="n">
        <v>0.995</v>
      </c>
      <c r="H139" s="51" t="n">
        <v>0.995</v>
      </c>
      <c r="I139" s="51" t="n">
        <v>0.995</v>
      </c>
      <c r="J139" s="51"/>
      <c r="K139" s="51"/>
      <c r="L139" s="51"/>
      <c r="M139" s="51"/>
      <c r="N139" s="51"/>
      <c r="O139" s="51"/>
    </row>
    <row r="140" customFormat="false" ht="16.4" hidden="false" customHeight="false" outlineLevel="0" collapsed="false">
      <c r="A140" s="9" t="s">
        <v>462</v>
      </c>
      <c r="B140" s="13" t="s">
        <v>271</v>
      </c>
      <c r="C140" s="13" t="s">
        <v>272</v>
      </c>
      <c r="D140" s="30" t="s">
        <v>342</v>
      </c>
      <c r="E140" s="30" t="s">
        <v>194</v>
      </c>
      <c r="F140" s="24" t="n">
        <v>30</v>
      </c>
      <c r="G140" s="24" t="n">
        <v>30</v>
      </c>
      <c r="H140" s="24" t="n">
        <v>30</v>
      </c>
      <c r="I140" s="24" t="n">
        <v>30</v>
      </c>
      <c r="J140" s="24"/>
      <c r="K140" s="24"/>
      <c r="L140" s="24"/>
      <c r="M140" s="24"/>
      <c r="N140" s="24"/>
      <c r="O140" s="24"/>
    </row>
    <row r="141" customFormat="false" ht="16.4" hidden="false" customHeight="false" outlineLevel="0" collapsed="false">
      <c r="A141" s="9" t="s">
        <v>463</v>
      </c>
      <c r="B141" s="13" t="s">
        <v>347</v>
      </c>
      <c r="C141" s="13" t="s">
        <v>62</v>
      </c>
      <c r="D141" s="30" t="s">
        <v>348</v>
      </c>
      <c r="E141" s="30" t="s">
        <v>37</v>
      </c>
      <c r="F141" s="24" t="n">
        <v>0.5</v>
      </c>
      <c r="G141" s="24" t="n">
        <v>0.5</v>
      </c>
      <c r="H141" s="24" t="n">
        <v>0.5</v>
      </c>
      <c r="I141" s="24" t="n">
        <v>0.5</v>
      </c>
      <c r="J141" s="24"/>
      <c r="K141" s="24"/>
      <c r="L141" s="24"/>
      <c r="M141" s="24"/>
      <c r="N141" s="24"/>
      <c r="O141" s="24"/>
    </row>
    <row r="142" customFormat="false" ht="16.4" hidden="false" customHeight="false" outlineLevel="0" collapsed="false">
      <c r="A142" s="9" t="s">
        <v>464</v>
      </c>
      <c r="B142" s="13" t="s">
        <v>350</v>
      </c>
      <c r="C142" s="13" t="s">
        <v>268</v>
      </c>
      <c r="D142" s="30" t="s">
        <v>465</v>
      </c>
      <c r="E142" s="30" t="s">
        <v>37</v>
      </c>
      <c r="F142" s="49" t="n">
        <v>0</v>
      </c>
      <c r="G142" s="49" t="n">
        <v>0</v>
      </c>
      <c r="H142" s="49" t="n">
        <v>0</v>
      </c>
      <c r="I142" s="49" t="n">
        <v>0</v>
      </c>
      <c r="J142" s="49"/>
      <c r="K142" s="49"/>
      <c r="L142" s="49"/>
      <c r="M142" s="49"/>
      <c r="N142" s="49"/>
      <c r="O142" s="49"/>
    </row>
    <row r="143" customFormat="false" ht="46.25" hidden="false" customHeight="false" outlineLevel="0" collapsed="false">
      <c r="A143" s="52" t="s">
        <v>466</v>
      </c>
      <c r="B143" s="53" t="s">
        <v>467</v>
      </c>
      <c r="C143" s="53" t="s">
        <v>42</v>
      </c>
      <c r="D143" s="54" t="s">
        <v>468</v>
      </c>
      <c r="E143" s="30" t="s">
        <v>37</v>
      </c>
      <c r="F143" s="25" t="n">
        <v>65</v>
      </c>
      <c r="G143" s="25" t="n">
        <v>65</v>
      </c>
      <c r="H143" s="25" t="n">
        <v>65</v>
      </c>
      <c r="I143" s="25" t="n">
        <v>65</v>
      </c>
      <c r="J143" s="25"/>
      <c r="K143" s="25"/>
      <c r="L143" s="25"/>
      <c r="M143" s="25"/>
      <c r="N143" s="25"/>
      <c r="O143" s="25"/>
    </row>
    <row r="144" customFormat="false" ht="16.4" hidden="false" customHeight="false" outlineLevel="0" collapsed="false">
      <c r="A144" s="9" t="s">
        <v>469</v>
      </c>
      <c r="B144" s="13" t="s">
        <v>275</v>
      </c>
      <c r="C144" s="13" t="s">
        <v>470</v>
      </c>
      <c r="D144" s="30"/>
      <c r="E144" s="30" t="s">
        <v>37</v>
      </c>
      <c r="F144" s="24" t="n">
        <v>5</v>
      </c>
      <c r="G144" s="24" t="n">
        <v>5</v>
      </c>
      <c r="H144" s="24" t="n">
        <v>5</v>
      </c>
      <c r="I144" s="24" t="n">
        <v>5</v>
      </c>
      <c r="J144" s="24"/>
      <c r="K144" s="24"/>
      <c r="L144" s="24"/>
      <c r="M144" s="24"/>
      <c r="N144" s="24"/>
      <c r="O144" s="24"/>
    </row>
    <row r="145" customFormat="false" ht="16.4" hidden="false" customHeight="false" outlineLevel="0" collapsed="false">
      <c r="A145" s="9" t="s">
        <v>471</v>
      </c>
      <c r="B145" s="13" t="s">
        <v>279</v>
      </c>
      <c r="C145" s="13" t="s">
        <v>280</v>
      </c>
      <c r="D145" s="30"/>
      <c r="E145" s="30" t="s">
        <v>37</v>
      </c>
      <c r="F145" s="24" t="n">
        <v>100</v>
      </c>
      <c r="G145" s="24" t="n">
        <v>100</v>
      </c>
      <c r="H145" s="24" t="n">
        <v>100</v>
      </c>
      <c r="I145" s="24" t="n">
        <v>100</v>
      </c>
      <c r="J145" s="24"/>
      <c r="K145" s="24"/>
      <c r="L145" s="24"/>
      <c r="M145" s="24"/>
      <c r="N145" s="24"/>
      <c r="O145" s="24"/>
    </row>
    <row r="146" customFormat="false" ht="16.4" hidden="false" customHeight="false" outlineLevel="0" collapsed="false">
      <c r="A146" s="9" t="s">
        <v>472</v>
      </c>
      <c r="B146" s="13" t="s">
        <v>282</v>
      </c>
      <c r="C146" s="13" t="s">
        <v>283</v>
      </c>
      <c r="D146" s="30"/>
      <c r="E146" s="30" t="s">
        <v>37</v>
      </c>
      <c r="F146" s="24"/>
      <c r="G146" s="24"/>
      <c r="H146" s="24"/>
      <c r="I146" s="24"/>
      <c r="J146" s="24"/>
      <c r="K146" s="24"/>
      <c r="L146" s="24"/>
      <c r="M146" s="24"/>
      <c r="N146" s="24"/>
      <c r="O146" s="24"/>
    </row>
    <row r="147" customFormat="false" ht="16.4" hidden="false" customHeight="false" outlineLevel="0" collapsed="false">
      <c r="A147" s="9" t="s">
        <v>473</v>
      </c>
      <c r="B147" s="13" t="s">
        <v>286</v>
      </c>
      <c r="C147" s="13" t="s">
        <v>287</v>
      </c>
      <c r="D147" s="30"/>
      <c r="E147" s="30" t="s">
        <v>37</v>
      </c>
      <c r="F147" s="24"/>
      <c r="G147" s="24"/>
      <c r="H147" s="24"/>
      <c r="I147" s="24"/>
      <c r="J147" s="24"/>
      <c r="K147" s="24"/>
      <c r="L147" s="24"/>
      <c r="M147" s="24"/>
      <c r="N147" s="24"/>
      <c r="O147" s="24"/>
    </row>
    <row r="148" customFormat="false" ht="16.4" hidden="false" customHeight="false" outlineLevel="0" collapsed="false">
      <c r="A148" s="9" t="s">
        <v>474</v>
      </c>
      <c r="B148" s="13" t="s">
        <v>359</v>
      </c>
      <c r="C148" s="13" t="s">
        <v>77</v>
      </c>
      <c r="D148" s="30" t="s">
        <v>475</v>
      </c>
      <c r="E148" s="30" t="s">
        <v>37</v>
      </c>
      <c r="F148" s="24"/>
      <c r="G148" s="24"/>
      <c r="H148" s="24"/>
      <c r="I148" s="24"/>
      <c r="J148" s="24"/>
      <c r="K148" s="24"/>
      <c r="L148" s="24"/>
      <c r="M148" s="24"/>
      <c r="N148" s="24"/>
      <c r="O148" s="24"/>
    </row>
    <row r="149" customFormat="false" ht="16.4" hidden="false" customHeight="false" outlineLevel="0" collapsed="false">
      <c r="A149" s="9" t="s">
        <v>476</v>
      </c>
      <c r="B149" s="13" t="s">
        <v>294</v>
      </c>
      <c r="C149" s="13" t="s">
        <v>77</v>
      </c>
      <c r="D149" s="30"/>
      <c r="E149" s="30" t="s">
        <v>37</v>
      </c>
      <c r="F149" s="24"/>
      <c r="G149" s="24"/>
      <c r="H149" s="24"/>
      <c r="I149" s="24"/>
      <c r="J149" s="24"/>
      <c r="K149" s="24"/>
      <c r="L149" s="24"/>
      <c r="M149" s="24"/>
      <c r="N149" s="24"/>
      <c r="O149" s="24"/>
    </row>
    <row r="150" customFormat="false" ht="16.4" hidden="false" customHeight="false" outlineLevel="0" collapsed="false">
      <c r="A150" s="9" t="s">
        <v>477</v>
      </c>
      <c r="B150" s="13" t="s">
        <v>362</v>
      </c>
      <c r="C150" s="13" t="s">
        <v>363</v>
      </c>
      <c r="D150" s="30" t="s">
        <v>432</v>
      </c>
      <c r="E150" s="30" t="s">
        <v>37</v>
      </c>
      <c r="F150" s="24"/>
      <c r="G150" s="24"/>
      <c r="H150" s="24"/>
      <c r="I150" s="24"/>
      <c r="J150" s="24"/>
      <c r="K150" s="24"/>
      <c r="L150" s="24"/>
      <c r="M150" s="24"/>
      <c r="N150" s="24"/>
      <c r="O150" s="24"/>
    </row>
    <row r="151" customFormat="false" ht="15" hidden="false" customHeight="false" outlineLevel="0" collapsed="false">
      <c r="A151" s="18" t="s">
        <v>478</v>
      </c>
      <c r="D151" s="33"/>
      <c r="E151" s="33"/>
    </row>
    <row r="152" customFormat="false" ht="16.4" hidden="false" customHeight="false" outlineLevel="0" collapsed="false">
      <c r="A152" s="9" t="s">
        <v>479</v>
      </c>
      <c r="B152" s="13" t="s">
        <v>334</v>
      </c>
      <c r="C152" s="13" t="s">
        <v>268</v>
      </c>
      <c r="D152" s="30" t="s">
        <v>458</v>
      </c>
      <c r="E152" s="30" t="s">
        <v>37</v>
      </c>
      <c r="F152" s="49" t="n">
        <v>0.99</v>
      </c>
      <c r="G152" s="49" t="n">
        <v>0.99</v>
      </c>
      <c r="H152" s="49" t="n">
        <v>0.99</v>
      </c>
      <c r="I152" s="49" t="n">
        <v>0.99</v>
      </c>
      <c r="J152" s="49"/>
      <c r="K152" s="49"/>
      <c r="L152" s="49"/>
      <c r="M152" s="49"/>
      <c r="N152" s="49"/>
      <c r="O152" s="49"/>
    </row>
    <row r="153" customFormat="false" ht="16.4" hidden="false" customHeight="false" outlineLevel="0" collapsed="false">
      <c r="A153" s="9" t="s">
        <v>480</v>
      </c>
      <c r="B153" s="13" t="s">
        <v>337</v>
      </c>
      <c r="C153" s="13" t="s">
        <v>268</v>
      </c>
      <c r="D153" s="30" t="s">
        <v>458</v>
      </c>
      <c r="E153" s="30" t="s">
        <v>37</v>
      </c>
      <c r="F153" s="49" t="n">
        <v>0.99</v>
      </c>
      <c r="G153" s="49" t="n">
        <v>0.99</v>
      </c>
      <c r="H153" s="49" t="n">
        <v>0.99</v>
      </c>
      <c r="I153" s="49" t="n">
        <v>0.99</v>
      </c>
      <c r="J153" s="49"/>
      <c r="K153" s="49"/>
      <c r="L153" s="49"/>
      <c r="M153" s="49"/>
      <c r="N153" s="49"/>
      <c r="O153" s="49"/>
    </row>
    <row r="154" customFormat="false" ht="16.4" hidden="false" customHeight="false" outlineLevel="0" collapsed="false">
      <c r="A154" s="9" t="s">
        <v>481</v>
      </c>
      <c r="B154" s="13" t="s">
        <v>339</v>
      </c>
      <c r="C154" s="13" t="s">
        <v>268</v>
      </c>
      <c r="D154" s="30" t="s">
        <v>482</v>
      </c>
      <c r="E154" s="30" t="s">
        <v>37</v>
      </c>
      <c r="F154" s="51" t="n">
        <v>0.995</v>
      </c>
      <c r="G154" s="51" t="n">
        <v>0.995</v>
      </c>
      <c r="H154" s="51" t="n">
        <v>0.995</v>
      </c>
      <c r="I154" s="51" t="n">
        <v>0.995</v>
      </c>
      <c r="J154" s="51"/>
      <c r="K154" s="51"/>
      <c r="L154" s="51"/>
      <c r="M154" s="51"/>
      <c r="N154" s="51"/>
      <c r="O154" s="51"/>
    </row>
    <row r="155" customFormat="false" ht="16.4" hidden="false" customHeight="false" outlineLevel="0" collapsed="false">
      <c r="A155" s="9" t="s">
        <v>483</v>
      </c>
      <c r="B155" s="13" t="s">
        <v>271</v>
      </c>
      <c r="C155" s="13" t="s">
        <v>272</v>
      </c>
      <c r="D155" s="30" t="s">
        <v>342</v>
      </c>
      <c r="E155" s="30" t="s">
        <v>194</v>
      </c>
      <c r="F155" s="24" t="n">
        <v>30</v>
      </c>
      <c r="G155" s="24" t="n">
        <v>30</v>
      </c>
      <c r="H155" s="24" t="n">
        <v>30</v>
      </c>
      <c r="I155" s="24" t="n">
        <v>30</v>
      </c>
      <c r="J155" s="24"/>
      <c r="K155" s="24"/>
      <c r="L155" s="24"/>
      <c r="M155" s="24"/>
      <c r="N155" s="24"/>
      <c r="O155" s="24"/>
    </row>
    <row r="156" customFormat="false" ht="16.4" hidden="false" customHeight="false" outlineLevel="0" collapsed="false">
      <c r="A156" s="9" t="s">
        <v>484</v>
      </c>
      <c r="B156" s="13" t="s">
        <v>347</v>
      </c>
      <c r="C156" s="13" t="s">
        <v>62</v>
      </c>
      <c r="D156" s="30" t="s">
        <v>348</v>
      </c>
      <c r="E156" s="30" t="s">
        <v>37</v>
      </c>
      <c r="F156" s="24" t="n">
        <v>0.5</v>
      </c>
      <c r="G156" s="24" t="n">
        <v>0.5</v>
      </c>
      <c r="H156" s="24" t="n">
        <v>0.5</v>
      </c>
      <c r="I156" s="24" t="n">
        <v>0.5</v>
      </c>
      <c r="J156" s="24"/>
      <c r="K156" s="24"/>
      <c r="L156" s="24"/>
      <c r="M156" s="24"/>
      <c r="N156" s="24"/>
      <c r="O156" s="24"/>
    </row>
    <row r="157" customFormat="false" ht="16.4" hidden="false" customHeight="false" outlineLevel="0" collapsed="false">
      <c r="A157" s="9" t="s">
        <v>485</v>
      </c>
      <c r="B157" s="13" t="s">
        <v>350</v>
      </c>
      <c r="C157" s="13" t="s">
        <v>268</v>
      </c>
      <c r="D157" s="30" t="s">
        <v>351</v>
      </c>
      <c r="E157" s="30" t="s">
        <v>37</v>
      </c>
      <c r="F157" s="49" t="n">
        <v>0</v>
      </c>
      <c r="G157" s="49" t="n">
        <v>0</v>
      </c>
      <c r="H157" s="49" t="n">
        <v>0</v>
      </c>
      <c r="I157" s="49" t="n">
        <v>0</v>
      </c>
      <c r="J157" s="49"/>
      <c r="K157" s="49"/>
      <c r="L157" s="49"/>
      <c r="M157" s="49"/>
      <c r="N157" s="49"/>
      <c r="O157" s="49"/>
    </row>
    <row r="158" customFormat="false" ht="16.4" hidden="false" customHeight="false" outlineLevel="0" collapsed="false">
      <c r="A158" s="9" t="s">
        <v>486</v>
      </c>
      <c r="B158" s="13" t="s">
        <v>275</v>
      </c>
      <c r="C158" s="13" t="s">
        <v>470</v>
      </c>
      <c r="D158" s="30"/>
      <c r="E158" s="30" t="s">
        <v>37</v>
      </c>
      <c r="F158" s="24" t="n">
        <v>5</v>
      </c>
      <c r="G158" s="24" t="n">
        <v>5</v>
      </c>
      <c r="H158" s="24" t="n">
        <v>5</v>
      </c>
      <c r="I158" s="24" t="n">
        <v>5</v>
      </c>
      <c r="J158" s="24"/>
      <c r="K158" s="24"/>
      <c r="L158" s="24"/>
      <c r="M158" s="24"/>
      <c r="N158" s="24"/>
      <c r="O158" s="24"/>
    </row>
    <row r="159" customFormat="false" ht="16.4" hidden="false" customHeight="false" outlineLevel="0" collapsed="false">
      <c r="A159" s="9" t="s">
        <v>487</v>
      </c>
      <c r="B159" s="13" t="s">
        <v>279</v>
      </c>
      <c r="C159" s="13" t="s">
        <v>280</v>
      </c>
      <c r="D159" s="30"/>
      <c r="E159" s="30" t="s">
        <v>37</v>
      </c>
      <c r="F159" s="24" t="n">
        <v>100</v>
      </c>
      <c r="G159" s="24" t="n">
        <v>100</v>
      </c>
      <c r="H159" s="24" t="n">
        <v>100</v>
      </c>
      <c r="I159" s="24" t="n">
        <v>100</v>
      </c>
      <c r="J159" s="24"/>
      <c r="K159" s="24"/>
      <c r="L159" s="24"/>
      <c r="M159" s="24"/>
      <c r="N159" s="24"/>
      <c r="O159" s="24"/>
    </row>
    <row r="160" customFormat="false" ht="16.4" hidden="false" customHeight="false" outlineLevel="0" collapsed="false">
      <c r="A160" s="9" t="s">
        <v>488</v>
      </c>
      <c r="B160" s="13" t="s">
        <v>282</v>
      </c>
      <c r="C160" s="13" t="s">
        <v>283</v>
      </c>
      <c r="D160" s="30"/>
      <c r="E160" s="30" t="s">
        <v>37</v>
      </c>
      <c r="F160" s="24"/>
      <c r="G160" s="24"/>
      <c r="H160" s="24"/>
      <c r="I160" s="24"/>
      <c r="J160" s="24"/>
      <c r="K160" s="24"/>
      <c r="L160" s="24"/>
      <c r="M160" s="24"/>
      <c r="N160" s="24"/>
      <c r="O160" s="24"/>
    </row>
    <row r="161" customFormat="false" ht="16.4" hidden="false" customHeight="false" outlineLevel="0" collapsed="false">
      <c r="A161" s="9" t="s">
        <v>489</v>
      </c>
      <c r="B161" s="13" t="s">
        <v>286</v>
      </c>
      <c r="C161" s="13" t="s">
        <v>287</v>
      </c>
      <c r="D161" s="30"/>
      <c r="E161" s="30" t="s">
        <v>37</v>
      </c>
      <c r="F161" s="24"/>
      <c r="G161" s="24"/>
      <c r="H161" s="24"/>
      <c r="I161" s="24"/>
      <c r="J161" s="24"/>
      <c r="K161" s="24"/>
      <c r="L161" s="24"/>
      <c r="M161" s="24"/>
      <c r="N161" s="24"/>
      <c r="O161" s="24"/>
    </row>
    <row r="162" customFormat="false" ht="16.4" hidden="false" customHeight="false" outlineLevel="0" collapsed="false">
      <c r="A162" s="9" t="s">
        <v>490</v>
      </c>
      <c r="B162" s="13" t="s">
        <v>359</v>
      </c>
      <c r="C162" s="13" t="s">
        <v>59</v>
      </c>
      <c r="D162" s="30"/>
      <c r="E162" s="30" t="s">
        <v>37</v>
      </c>
      <c r="F162" s="24"/>
      <c r="G162" s="24"/>
      <c r="H162" s="24"/>
      <c r="I162" s="24"/>
      <c r="J162" s="24"/>
      <c r="K162" s="24"/>
      <c r="L162" s="24"/>
      <c r="M162" s="24"/>
      <c r="N162" s="24"/>
      <c r="O162" s="24"/>
    </row>
    <row r="163" customFormat="false" ht="16.4" hidden="false" customHeight="false" outlineLevel="0" collapsed="false">
      <c r="A163" s="9" t="s">
        <v>491</v>
      </c>
      <c r="B163" s="13" t="s">
        <v>294</v>
      </c>
      <c r="C163" s="13" t="s">
        <v>59</v>
      </c>
      <c r="D163" s="30"/>
      <c r="E163" s="30" t="s">
        <v>37</v>
      </c>
      <c r="F163" s="24"/>
      <c r="G163" s="24"/>
      <c r="H163" s="24"/>
      <c r="I163" s="24"/>
      <c r="J163" s="24"/>
      <c r="K163" s="24"/>
      <c r="L163" s="24"/>
      <c r="M163" s="24"/>
      <c r="N163" s="24"/>
      <c r="O163" s="24"/>
    </row>
    <row r="164" customFormat="false" ht="16.4" hidden="false" customHeight="false" outlineLevel="0" collapsed="false">
      <c r="A164" s="9" t="s">
        <v>492</v>
      </c>
      <c r="B164" s="13" t="s">
        <v>362</v>
      </c>
      <c r="C164" s="13" t="s">
        <v>363</v>
      </c>
      <c r="D164" s="30" t="s">
        <v>432</v>
      </c>
      <c r="E164" s="30" t="s">
        <v>37</v>
      </c>
      <c r="F164" s="24"/>
      <c r="G164" s="24"/>
      <c r="H164" s="24"/>
      <c r="I164" s="24"/>
      <c r="J164" s="24"/>
      <c r="K164" s="24"/>
      <c r="L164" s="24"/>
      <c r="M164" s="24"/>
      <c r="N164" s="24"/>
      <c r="O164" s="24"/>
    </row>
    <row r="165" customFormat="false" ht="15" hidden="false" customHeight="false" outlineLevel="0" collapsed="false">
      <c r="A165" s="18" t="s">
        <v>493</v>
      </c>
      <c r="D165" s="33"/>
      <c r="E165" s="33"/>
    </row>
    <row r="166" customFormat="false" ht="16.4" hidden="false" customHeight="false" outlineLevel="0" collapsed="false">
      <c r="A166" s="9" t="s">
        <v>494</v>
      </c>
      <c r="B166" s="13" t="s">
        <v>446</v>
      </c>
      <c r="C166" s="13" t="s">
        <v>268</v>
      </c>
      <c r="D166" s="30" t="s">
        <v>495</v>
      </c>
      <c r="E166" s="30" t="s">
        <v>37</v>
      </c>
      <c r="F166" s="49" t="n">
        <v>0.9</v>
      </c>
      <c r="G166" s="49" t="n">
        <v>0.9</v>
      </c>
      <c r="H166" s="49" t="n">
        <v>0.9</v>
      </c>
      <c r="I166" s="49" t="n">
        <v>0.9</v>
      </c>
      <c r="J166" s="49"/>
      <c r="K166" s="49"/>
      <c r="L166" s="49"/>
      <c r="M166" s="49"/>
      <c r="N166" s="49"/>
      <c r="O166" s="49"/>
    </row>
    <row r="167" customFormat="false" ht="16.4" hidden="false" customHeight="false" outlineLevel="0" collapsed="false">
      <c r="A167" s="9" t="s">
        <v>496</v>
      </c>
      <c r="B167" s="13" t="s">
        <v>271</v>
      </c>
      <c r="C167" s="13" t="s">
        <v>272</v>
      </c>
      <c r="D167" s="30"/>
      <c r="E167" s="30" t="s">
        <v>194</v>
      </c>
      <c r="F167" s="24" t="n">
        <v>20</v>
      </c>
      <c r="G167" s="24" t="n">
        <v>20</v>
      </c>
      <c r="H167" s="24" t="n">
        <v>20</v>
      </c>
      <c r="I167" s="24" t="n">
        <v>20</v>
      </c>
      <c r="J167" s="24"/>
      <c r="K167" s="24"/>
      <c r="L167" s="24"/>
      <c r="M167" s="24"/>
      <c r="N167" s="24"/>
      <c r="O167" s="24"/>
    </row>
    <row r="168" customFormat="false" ht="16.4" hidden="false" customHeight="false" outlineLevel="0" collapsed="false">
      <c r="A168" s="9" t="s">
        <v>497</v>
      </c>
      <c r="B168" s="13" t="s">
        <v>275</v>
      </c>
      <c r="C168" s="13" t="s">
        <v>498</v>
      </c>
      <c r="D168" s="30" t="s">
        <v>499</v>
      </c>
      <c r="E168" s="30" t="s">
        <v>37</v>
      </c>
      <c r="F168" s="24" t="n">
        <v>0.01</v>
      </c>
      <c r="G168" s="24" t="n">
        <v>0.01</v>
      </c>
      <c r="H168" s="24" t="n">
        <v>200</v>
      </c>
      <c r="I168" s="24" t="n">
        <v>200</v>
      </c>
      <c r="J168" s="24"/>
      <c r="K168" s="24"/>
      <c r="L168" s="24"/>
      <c r="M168" s="24"/>
      <c r="N168" s="24"/>
      <c r="O168" s="24"/>
    </row>
    <row r="169" customFormat="false" ht="16.4" hidden="false" customHeight="false" outlineLevel="0" collapsed="false">
      <c r="A169" s="9" t="s">
        <v>500</v>
      </c>
      <c r="B169" s="13" t="s">
        <v>279</v>
      </c>
      <c r="C169" s="13" t="s">
        <v>280</v>
      </c>
      <c r="D169" s="30" t="s">
        <v>501</v>
      </c>
      <c r="E169" s="30" t="s">
        <v>37</v>
      </c>
      <c r="F169" s="24" t="n">
        <v>0</v>
      </c>
      <c r="G169" s="24" t="n">
        <v>0</v>
      </c>
      <c r="H169" s="24" t="n">
        <v>3000</v>
      </c>
      <c r="I169" s="24" t="n">
        <v>3000</v>
      </c>
      <c r="J169" s="24"/>
      <c r="K169" s="24"/>
      <c r="L169" s="24"/>
      <c r="M169" s="24"/>
      <c r="N169" s="24"/>
      <c r="O169" s="24"/>
    </row>
    <row r="170" customFormat="false" ht="16.4" hidden="false" customHeight="false" outlineLevel="0" collapsed="false">
      <c r="A170" s="9" t="s">
        <v>502</v>
      </c>
      <c r="B170" s="13" t="s">
        <v>282</v>
      </c>
      <c r="C170" s="13" t="s">
        <v>283</v>
      </c>
      <c r="D170" s="30"/>
      <c r="E170" s="30" t="s">
        <v>37</v>
      </c>
      <c r="F170" s="24"/>
      <c r="G170" s="24"/>
      <c r="H170" s="24"/>
      <c r="I170" s="24"/>
      <c r="J170" s="24"/>
      <c r="K170" s="24"/>
      <c r="L170" s="24"/>
      <c r="M170" s="24"/>
      <c r="N170" s="24"/>
      <c r="O170" s="24"/>
    </row>
    <row r="171" customFormat="false" ht="16.4" hidden="false" customHeight="false" outlineLevel="0" collapsed="false">
      <c r="A171" s="9" t="s">
        <v>503</v>
      </c>
      <c r="B171" s="13" t="s">
        <v>286</v>
      </c>
      <c r="C171" s="13" t="s">
        <v>287</v>
      </c>
      <c r="D171" s="30"/>
      <c r="E171" s="30" t="s">
        <v>37</v>
      </c>
      <c r="F171" s="24"/>
      <c r="G171" s="24"/>
      <c r="H171" s="24"/>
      <c r="I171" s="24"/>
      <c r="J171" s="24"/>
      <c r="K171" s="24"/>
      <c r="L171" s="24"/>
      <c r="M171" s="24"/>
      <c r="N171" s="24"/>
      <c r="O171" s="24"/>
    </row>
    <row r="172" customFormat="false" ht="16.4" hidden="false" customHeight="false" outlineLevel="0" collapsed="false">
      <c r="A172" s="9" t="s">
        <v>504</v>
      </c>
      <c r="B172" s="13" t="s">
        <v>505</v>
      </c>
      <c r="C172" s="13" t="s">
        <v>353</v>
      </c>
      <c r="D172" s="30" t="s">
        <v>506</v>
      </c>
      <c r="E172" s="30" t="s">
        <v>37</v>
      </c>
      <c r="F172" s="24" t="n">
        <v>0.14</v>
      </c>
      <c r="G172" s="24" t="n">
        <v>0.14</v>
      </c>
      <c r="H172" s="24" t="n">
        <v>0.14</v>
      </c>
      <c r="I172" s="24" t="n">
        <v>0.14</v>
      </c>
      <c r="J172" s="24"/>
      <c r="K172" s="24"/>
      <c r="L172" s="24"/>
      <c r="M172" s="24"/>
      <c r="N172" s="24"/>
      <c r="O172" s="24"/>
    </row>
    <row r="173" customFormat="false" ht="16.4" hidden="false" customHeight="false" outlineLevel="0" collapsed="false">
      <c r="A173" s="9" t="s">
        <v>507</v>
      </c>
      <c r="B173" s="13" t="s">
        <v>359</v>
      </c>
      <c r="C173" s="13" t="s">
        <v>56</v>
      </c>
      <c r="D173" s="30"/>
      <c r="E173" s="30" t="s">
        <v>37</v>
      </c>
      <c r="F173" s="24"/>
      <c r="G173" s="24" t="n">
        <v>0</v>
      </c>
      <c r="H173" s="24" t="n">
        <v>0</v>
      </c>
      <c r="I173" s="24" t="n">
        <v>0</v>
      </c>
      <c r="J173" s="24"/>
      <c r="K173" s="24"/>
      <c r="L173" s="24"/>
      <c r="M173" s="24"/>
      <c r="N173" s="24"/>
      <c r="O173" s="24"/>
    </row>
    <row r="174" customFormat="false" ht="16.4" hidden="false" customHeight="false" outlineLevel="0" collapsed="false">
      <c r="A174" s="9" t="s">
        <v>508</v>
      </c>
      <c r="B174" s="13" t="s">
        <v>509</v>
      </c>
      <c r="C174" s="13" t="s">
        <v>56</v>
      </c>
      <c r="D174" s="30"/>
      <c r="E174" s="30" t="s">
        <v>37</v>
      </c>
      <c r="F174" s="24"/>
      <c r="G174" s="24"/>
      <c r="H174" s="24"/>
      <c r="I174" s="24"/>
      <c r="J174" s="24"/>
      <c r="K174" s="24"/>
      <c r="L174" s="24"/>
      <c r="M174" s="24"/>
      <c r="N174" s="24"/>
      <c r="O174" s="24"/>
    </row>
    <row r="175" customFormat="false" ht="76.1" hidden="false" customHeight="false" outlineLevel="0" collapsed="false">
      <c r="A175" s="52" t="s">
        <v>510</v>
      </c>
      <c r="B175" s="53" t="s">
        <v>511</v>
      </c>
      <c r="C175" s="53" t="s">
        <v>363</v>
      </c>
      <c r="D175" s="54" t="s">
        <v>512</v>
      </c>
      <c r="E175" s="30" t="s">
        <v>37</v>
      </c>
      <c r="F175" s="55" t="n">
        <v>0.57</v>
      </c>
      <c r="G175" s="55" t="n">
        <v>0.57</v>
      </c>
      <c r="H175" s="55" t="n">
        <v>0.57</v>
      </c>
      <c r="I175" s="55" t="n">
        <v>0.57</v>
      </c>
      <c r="J175" s="55"/>
      <c r="K175" s="55"/>
      <c r="L175" s="55"/>
      <c r="M175" s="55"/>
      <c r="N175" s="55"/>
      <c r="O175" s="55"/>
    </row>
    <row r="176" customFormat="false" ht="15" hidden="false" customHeight="false" outlineLevel="0" collapsed="false">
      <c r="A176" s="18" t="s">
        <v>513</v>
      </c>
    </row>
    <row r="177" customFormat="false" ht="31.3" hidden="false" customHeight="false" outlineLevel="0" collapsed="false">
      <c r="A177" s="52" t="s">
        <v>514</v>
      </c>
      <c r="B177" s="53" t="s">
        <v>515</v>
      </c>
      <c r="C177" s="53" t="s">
        <v>268</v>
      </c>
      <c r="D177" s="54" t="s">
        <v>516</v>
      </c>
      <c r="E177" s="30" t="s">
        <v>37</v>
      </c>
      <c r="F177" s="49"/>
      <c r="G177" s="49"/>
      <c r="H177" s="49" t="n">
        <v>0.35</v>
      </c>
      <c r="I177" s="49" t="n">
        <v>0.35</v>
      </c>
      <c r="J177" s="49"/>
      <c r="K177" s="49"/>
      <c r="L177" s="49"/>
      <c r="M177" s="49"/>
      <c r="N177" s="49"/>
      <c r="O177" s="49"/>
    </row>
    <row r="178" customFormat="false" ht="16.4" hidden="false" customHeight="false" outlineLevel="0" collapsed="false">
      <c r="A178" s="52" t="s">
        <v>517</v>
      </c>
      <c r="B178" s="53" t="s">
        <v>271</v>
      </c>
      <c r="C178" s="53" t="s">
        <v>272</v>
      </c>
      <c r="D178" s="54"/>
      <c r="E178" s="30" t="s">
        <v>194</v>
      </c>
      <c r="F178" s="24"/>
      <c r="G178" s="24"/>
      <c r="H178" s="24" t="n">
        <v>30</v>
      </c>
      <c r="I178" s="24" t="n">
        <v>30</v>
      </c>
      <c r="J178" s="24"/>
      <c r="K178" s="24"/>
      <c r="L178" s="24"/>
      <c r="M178" s="24"/>
      <c r="N178" s="24"/>
      <c r="O178" s="24"/>
    </row>
    <row r="179" customFormat="false" ht="46.25" hidden="false" customHeight="false" outlineLevel="0" collapsed="false">
      <c r="A179" s="52" t="s">
        <v>518</v>
      </c>
      <c r="B179" s="53" t="s">
        <v>519</v>
      </c>
      <c r="C179" s="53" t="s">
        <v>161</v>
      </c>
      <c r="D179" s="54" t="s">
        <v>520</v>
      </c>
      <c r="E179" s="30"/>
      <c r="F179" s="24"/>
      <c r="G179" s="24"/>
      <c r="H179" s="24" t="n">
        <v>1</v>
      </c>
      <c r="I179" s="24"/>
      <c r="J179" s="24"/>
      <c r="K179" s="24"/>
      <c r="L179" s="24"/>
      <c r="M179" s="24"/>
      <c r="N179" s="24"/>
      <c r="O179" s="24"/>
    </row>
    <row r="180" customFormat="false" ht="16.4" hidden="false" customHeight="false" outlineLevel="0" collapsed="false">
      <c r="A180" s="52" t="s">
        <v>521</v>
      </c>
      <c r="B180" s="53" t="s">
        <v>279</v>
      </c>
      <c r="C180" s="53" t="s">
        <v>280</v>
      </c>
      <c r="D180" s="54"/>
      <c r="E180" s="30" t="s">
        <v>37</v>
      </c>
      <c r="F180" s="24"/>
      <c r="G180" s="24"/>
      <c r="H180" s="24" t="n">
        <v>80000</v>
      </c>
      <c r="I180" s="24" t="n">
        <v>80000</v>
      </c>
      <c r="J180" s="24"/>
      <c r="K180" s="24"/>
      <c r="L180" s="24"/>
      <c r="M180" s="24"/>
      <c r="N180" s="24"/>
      <c r="O180" s="24"/>
    </row>
    <row r="181" customFormat="false" ht="16.4" hidden="false" customHeight="false" outlineLevel="0" collapsed="false">
      <c r="A181" s="52" t="s">
        <v>522</v>
      </c>
      <c r="B181" s="53" t="s">
        <v>282</v>
      </c>
      <c r="C181" s="53" t="s">
        <v>283</v>
      </c>
      <c r="D181" s="54"/>
      <c r="E181" s="30" t="s">
        <v>37</v>
      </c>
      <c r="F181" s="24"/>
      <c r="G181" s="24"/>
      <c r="H181" s="24"/>
      <c r="I181" s="24"/>
      <c r="J181" s="24"/>
      <c r="K181" s="24"/>
      <c r="L181" s="24"/>
      <c r="M181" s="24"/>
      <c r="N181" s="24"/>
      <c r="O181" s="24"/>
    </row>
    <row r="182" customFormat="false" ht="16.4" hidden="false" customHeight="false" outlineLevel="0" collapsed="false">
      <c r="A182" s="52" t="s">
        <v>523</v>
      </c>
      <c r="B182" s="53" t="s">
        <v>524</v>
      </c>
      <c r="C182" s="53" t="s">
        <v>525</v>
      </c>
      <c r="D182" s="54" t="s">
        <v>432</v>
      </c>
      <c r="E182" s="30" t="s">
        <v>37</v>
      </c>
      <c r="F182" s="24"/>
      <c r="G182" s="24"/>
      <c r="H182" s="24"/>
      <c r="I182" s="24"/>
      <c r="J182" s="24"/>
      <c r="K182" s="24"/>
      <c r="L182" s="24"/>
      <c r="M182" s="24"/>
      <c r="N182" s="24"/>
      <c r="O182" s="24"/>
    </row>
    <row r="183" customFormat="false" ht="31.3" hidden="false" customHeight="false" outlineLevel="0" collapsed="false">
      <c r="A183" s="52" t="s">
        <v>526</v>
      </c>
      <c r="B183" s="53" t="s">
        <v>515</v>
      </c>
      <c r="C183" s="53" t="s">
        <v>268</v>
      </c>
      <c r="D183" s="54" t="s">
        <v>516</v>
      </c>
      <c r="E183" s="30" t="s">
        <v>37</v>
      </c>
      <c r="F183" s="24"/>
      <c r="G183" s="24"/>
      <c r="H183" s="24"/>
      <c r="I183" s="24"/>
      <c r="J183" s="24"/>
      <c r="K183" s="24"/>
      <c r="L183" s="24"/>
      <c r="M183" s="24"/>
      <c r="N183" s="24"/>
      <c r="O183" s="24"/>
    </row>
    <row r="184" customFormat="false" ht="16.4" hidden="false" customHeight="false" outlineLevel="0" collapsed="false">
      <c r="A184" s="52" t="s">
        <v>527</v>
      </c>
      <c r="B184" s="53" t="s">
        <v>271</v>
      </c>
      <c r="C184" s="53" t="s">
        <v>272</v>
      </c>
      <c r="D184" s="54"/>
      <c r="E184" s="30" t="s">
        <v>37</v>
      </c>
      <c r="F184" s="24"/>
      <c r="G184" s="24"/>
      <c r="H184" s="24"/>
      <c r="I184" s="24"/>
      <c r="J184" s="24"/>
      <c r="K184" s="24"/>
      <c r="L184" s="24"/>
      <c r="M184" s="24"/>
      <c r="N184" s="24"/>
      <c r="O184" s="24"/>
    </row>
    <row r="185" customFormat="false" ht="16.4" hidden="false" customHeight="false" outlineLevel="0" collapsed="false">
      <c r="A185" s="52" t="s">
        <v>528</v>
      </c>
      <c r="B185" s="53" t="s">
        <v>279</v>
      </c>
      <c r="C185" s="53" t="s">
        <v>280</v>
      </c>
      <c r="D185" s="54"/>
      <c r="E185" s="30" t="s">
        <v>37</v>
      </c>
      <c r="F185" s="24"/>
      <c r="G185" s="24"/>
      <c r="H185" s="24"/>
      <c r="I185" s="24"/>
      <c r="J185" s="24"/>
      <c r="K185" s="24"/>
      <c r="L185" s="24"/>
      <c r="M185" s="24"/>
      <c r="N185" s="24"/>
      <c r="O185" s="24"/>
    </row>
    <row r="186" customFormat="false" ht="16.4" hidden="false" customHeight="false" outlineLevel="0" collapsed="false">
      <c r="A186" s="52" t="s">
        <v>529</v>
      </c>
      <c r="B186" s="53" t="s">
        <v>282</v>
      </c>
      <c r="C186" s="53" t="s">
        <v>283</v>
      </c>
      <c r="D186" s="54"/>
      <c r="E186" s="30" t="s">
        <v>37</v>
      </c>
      <c r="F186" s="24"/>
      <c r="G186" s="24"/>
      <c r="H186" s="24"/>
      <c r="I186" s="24"/>
      <c r="J186" s="24"/>
      <c r="K186" s="24"/>
      <c r="L186" s="24"/>
      <c r="M186" s="24"/>
      <c r="N186" s="24"/>
      <c r="O186" s="24"/>
    </row>
    <row r="187" customFormat="false" ht="16.4" hidden="false" customHeight="false" outlineLevel="0" collapsed="false">
      <c r="A187" s="52" t="s">
        <v>530</v>
      </c>
      <c r="B187" s="53" t="s">
        <v>524</v>
      </c>
      <c r="C187" s="53" t="s">
        <v>525</v>
      </c>
      <c r="D187" s="54" t="s">
        <v>432</v>
      </c>
      <c r="E187" s="30" t="s">
        <v>37</v>
      </c>
      <c r="F187" s="24"/>
      <c r="G187" s="24"/>
      <c r="H187" s="24"/>
      <c r="I187" s="24"/>
      <c r="J187" s="24"/>
      <c r="K187" s="24"/>
      <c r="L187" s="24"/>
      <c r="M187" s="24"/>
      <c r="N187" s="24"/>
      <c r="O187" s="24"/>
    </row>
  </sheetData>
  <dataValidations count="4">
    <dataValidation allowBlank="true" errorStyle="stop" operator="between" showDropDown="false" showErrorMessage="true" showInputMessage="true" sqref="F4:O4 F15:O15 F26:O26 F37:O37 F63:O63 F74:O74 F85:O85 F96:O96" type="list">
      <formula1>Definitions!$B$2:$B$9</formula1>
      <formula2>0</formula2>
    </dataValidation>
    <dataValidation allowBlank="true" errorStyle="stop" operator="between" showDropDown="false" showErrorMessage="true" showInputMessage="true" sqref="F64:O64 F75:O75 F86:O86 F97:O97" type="list">
      <formula1>Definitions!$C$2:$C$6</formula1>
      <formula2>0</formula2>
    </dataValidation>
    <dataValidation allowBlank="true" errorStyle="stop" operator="between" showDropDown="false" showErrorMessage="true" showInputMessage="true" sqref="F107:O107" type="list">
      <formula1>Definitions!$D$2</formula1>
      <formula2>0</formula2>
    </dataValidation>
    <dataValidation allowBlank="true" errorStyle="stop" operator="between" showDropDown="false" showErrorMessage="true" showInputMessage="true" sqref="F117:O117" type="list">
      <formula1>Definitions!$E$2</formula1>
      <formula2>0</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EA72E"/>
    <pageSetUpPr fitToPage="false"/>
  </sheetPr>
  <dimension ref="A1:O39"/>
  <sheetViews>
    <sheetView showFormulas="false" showGridLines="true" showRowColHeaders="true" showZeros="true" rightToLeft="false" tabSelected="true" showOutlineSymbols="true" defaultGridColor="true" view="normal" topLeftCell="A16" colorId="64" zoomScale="100" zoomScaleNormal="100" zoomScalePageLayoutView="100" workbookViewId="0">
      <selection pane="topLeft" activeCell="G20" activeCellId="0" sqref="G20"/>
    </sheetView>
  </sheetViews>
  <sheetFormatPr defaultColWidth="10.59765625" defaultRowHeight="15" zeroHeight="false" outlineLevelRow="0" outlineLevelCol="0"/>
  <cols>
    <col collapsed="false" customWidth="true" hidden="false" outlineLevel="0" max="1" min="1" style="0" width="29.43"/>
    <col collapsed="false" customWidth="true" hidden="false" outlineLevel="0" max="4" min="4" style="0" width="45.86"/>
    <col collapsed="false" customWidth="true" hidden="false" outlineLevel="0" max="5" min="5" style="0" width="12.29"/>
  </cols>
  <sheetData>
    <row r="1" customFormat="false" ht="15" hidden="false" customHeight="false" outlineLevel="0" collapsed="false">
      <c r="A1" s="6" t="str">
        <f aca="false">Location!A1</f>
        <v>PARAMETERS</v>
      </c>
      <c r="B1" s="6"/>
      <c r="C1" s="6"/>
      <c r="D1" s="6"/>
      <c r="E1" s="6"/>
      <c r="F1" s="6" t="str">
        <f aca="false">Location!F1</f>
        <v>SCENARIO VALUES</v>
      </c>
      <c r="G1" s="6"/>
      <c r="H1" s="6"/>
      <c r="I1" s="6"/>
    </row>
    <row r="2" s="6" customFormat="true" ht="15" hidden="false" customHeight="false" outlineLevel="0" collapsed="false">
      <c r="A2" s="9" t="s">
        <v>44</v>
      </c>
      <c r="B2" s="10" t="s">
        <v>26</v>
      </c>
      <c r="C2" s="10" t="s">
        <v>27</v>
      </c>
      <c r="D2" s="10" t="s">
        <v>28</v>
      </c>
      <c r="E2" s="10" t="s">
        <v>29</v>
      </c>
      <c r="F2" s="11" t="str">
        <f aca="false">Location!F2</f>
        <v>BAU</v>
      </c>
      <c r="G2" s="11" t="str">
        <f aca="false">Location!G2</f>
        <v>PV + HP</v>
      </c>
      <c r="H2" s="11" t="str">
        <f aca="false">Location!H2</f>
        <v>Refurbished</v>
      </c>
      <c r="I2" s="11" t="str">
        <f aca="false">Location!I2</f>
        <v>Flex</v>
      </c>
      <c r="J2" s="11"/>
      <c r="K2" s="11"/>
      <c r="L2" s="11"/>
      <c r="M2" s="11"/>
      <c r="N2" s="11"/>
      <c r="O2" s="11"/>
    </row>
    <row r="3" s="6" customFormat="true" ht="15" hidden="false" customHeight="false" outlineLevel="0" collapsed="false">
      <c r="A3" s="18" t="s">
        <v>531</v>
      </c>
    </row>
    <row r="4" customFormat="false" ht="15" hidden="false" customHeight="false" outlineLevel="0" collapsed="false">
      <c r="A4" s="9" t="s">
        <v>532</v>
      </c>
      <c r="B4" s="13" t="s">
        <v>533</v>
      </c>
      <c r="C4" s="13" t="s">
        <v>268</v>
      </c>
      <c r="D4" s="13" t="s">
        <v>534</v>
      </c>
      <c r="E4" s="13" t="s">
        <v>37</v>
      </c>
      <c r="F4" s="50" t="n">
        <v>0.02</v>
      </c>
      <c r="G4" s="50" t="n">
        <v>0.02</v>
      </c>
      <c r="H4" s="50" t="n">
        <v>0.02</v>
      </c>
      <c r="I4" s="50" t="n">
        <v>0.02</v>
      </c>
      <c r="J4" s="50"/>
      <c r="K4" s="50"/>
      <c r="L4" s="50"/>
      <c r="M4" s="50"/>
      <c r="N4" s="50"/>
      <c r="O4" s="50"/>
    </row>
    <row r="5" customFormat="false" ht="15" hidden="false" customHeight="false" outlineLevel="0" collapsed="false">
      <c r="A5" s="9" t="s">
        <v>535</v>
      </c>
      <c r="B5" s="13" t="s">
        <v>536</v>
      </c>
      <c r="C5" s="13" t="s">
        <v>537</v>
      </c>
      <c r="D5" s="13" t="s">
        <v>538</v>
      </c>
      <c r="E5" s="13" t="s">
        <v>37</v>
      </c>
      <c r="F5" s="24" t="n">
        <v>30</v>
      </c>
      <c r="G5" s="24" t="n">
        <v>30</v>
      </c>
      <c r="H5" s="24" t="n">
        <v>30</v>
      </c>
      <c r="I5" s="24" t="n">
        <v>30</v>
      </c>
      <c r="J5" s="24"/>
      <c r="K5" s="24"/>
      <c r="L5" s="24"/>
      <c r="M5" s="24"/>
      <c r="N5" s="24"/>
      <c r="O5" s="24"/>
    </row>
    <row r="6" customFormat="false" ht="15" hidden="false" customHeight="false" outlineLevel="0" collapsed="false">
      <c r="A6" s="18" t="s">
        <v>539</v>
      </c>
    </row>
    <row r="7" customFormat="false" ht="16.5" hidden="false" customHeight="true" outlineLevel="0" collapsed="false">
      <c r="A7" s="56" t="s">
        <v>540</v>
      </c>
      <c r="B7" s="53" t="s">
        <v>541</v>
      </c>
      <c r="C7" s="53" t="s">
        <v>542</v>
      </c>
      <c r="D7" s="54" t="s">
        <v>543</v>
      </c>
      <c r="E7" s="13" t="s">
        <v>37</v>
      </c>
      <c r="F7" s="57" t="n">
        <v>35</v>
      </c>
      <c r="G7" s="57" t="n">
        <v>35</v>
      </c>
      <c r="H7" s="57" t="n">
        <v>35</v>
      </c>
      <c r="I7" s="57" t="n">
        <v>35</v>
      </c>
      <c r="J7" s="57"/>
      <c r="K7" s="57"/>
      <c r="L7" s="57"/>
      <c r="M7" s="57"/>
      <c r="N7" s="57"/>
      <c r="O7" s="57"/>
    </row>
    <row r="8" customFormat="false" ht="16.4" hidden="false" customHeight="false" outlineLevel="0" collapsed="false">
      <c r="A8" s="56" t="s">
        <v>544</v>
      </c>
      <c r="B8" s="53" t="s">
        <v>545</v>
      </c>
      <c r="C8" s="53" t="s">
        <v>546</v>
      </c>
      <c r="D8" s="54" t="s">
        <v>547</v>
      </c>
      <c r="E8" s="13" t="s">
        <v>37</v>
      </c>
      <c r="F8" s="57" t="n">
        <v>50</v>
      </c>
      <c r="G8" s="57" t="n">
        <v>50</v>
      </c>
      <c r="H8" s="57" t="n">
        <v>50</v>
      </c>
      <c r="I8" s="57" t="n">
        <v>50</v>
      </c>
      <c r="J8" s="57"/>
      <c r="K8" s="57"/>
      <c r="L8" s="57"/>
      <c r="M8" s="57"/>
      <c r="N8" s="57"/>
      <c r="O8" s="57"/>
    </row>
    <row r="9" customFormat="false" ht="46.25" hidden="false" customHeight="false" outlineLevel="0" collapsed="false">
      <c r="A9" s="56" t="s">
        <v>548</v>
      </c>
      <c r="B9" s="53" t="s">
        <v>549</v>
      </c>
      <c r="C9" s="53" t="s">
        <v>161</v>
      </c>
      <c r="D9" s="54" t="s">
        <v>550</v>
      </c>
      <c r="E9" s="13" t="s">
        <v>161</v>
      </c>
      <c r="F9" s="57" t="n">
        <v>0</v>
      </c>
      <c r="G9" s="57" t="n">
        <v>0</v>
      </c>
      <c r="H9" s="57" t="n">
        <v>0</v>
      </c>
      <c r="I9" s="57" t="n">
        <v>0</v>
      </c>
      <c r="J9" s="57"/>
      <c r="K9" s="57"/>
      <c r="L9" s="57"/>
      <c r="M9" s="57"/>
      <c r="N9" s="57"/>
      <c r="O9" s="57"/>
    </row>
    <row r="10" customFormat="false" ht="31.3" hidden="false" customHeight="false" outlineLevel="0" collapsed="false">
      <c r="A10" s="56" t="s">
        <v>551</v>
      </c>
      <c r="B10" s="53" t="s">
        <v>549</v>
      </c>
      <c r="C10" s="53" t="s">
        <v>161</v>
      </c>
      <c r="D10" s="54" t="s">
        <v>552</v>
      </c>
      <c r="E10" s="13" t="s">
        <v>161</v>
      </c>
      <c r="F10" s="57" t="n">
        <v>0</v>
      </c>
      <c r="G10" s="57" t="n">
        <v>0</v>
      </c>
      <c r="H10" s="57" t="n">
        <v>0</v>
      </c>
      <c r="I10" s="57" t="n">
        <v>0</v>
      </c>
      <c r="J10" s="57"/>
      <c r="K10" s="57"/>
      <c r="L10" s="57"/>
      <c r="M10" s="57"/>
      <c r="N10" s="57"/>
      <c r="O10" s="57"/>
    </row>
    <row r="11" customFormat="false" ht="31.3" hidden="false" customHeight="false" outlineLevel="0" collapsed="false">
      <c r="A11" s="56" t="s">
        <v>553</v>
      </c>
      <c r="B11" s="53" t="s">
        <v>549</v>
      </c>
      <c r="C11" s="53" t="s">
        <v>161</v>
      </c>
      <c r="D11" s="54" t="s">
        <v>554</v>
      </c>
      <c r="E11" s="13" t="s">
        <v>161</v>
      </c>
      <c r="F11" s="57" t="n">
        <v>0</v>
      </c>
      <c r="G11" s="57" t="n">
        <v>0</v>
      </c>
      <c r="H11" s="57" t="n">
        <v>0</v>
      </c>
      <c r="I11" s="57" t="n">
        <v>0</v>
      </c>
      <c r="J11" s="57"/>
      <c r="K11" s="57"/>
      <c r="L11" s="57"/>
      <c r="M11" s="57"/>
      <c r="N11" s="57"/>
      <c r="O11" s="57"/>
    </row>
    <row r="12" customFormat="false" ht="15" hidden="false" customHeight="true" outlineLevel="0" collapsed="false">
      <c r="A12" s="56" t="s">
        <v>555</v>
      </c>
      <c r="B12" s="53" t="s">
        <v>541</v>
      </c>
      <c r="C12" s="53" t="s">
        <v>542</v>
      </c>
      <c r="D12" s="54" t="s">
        <v>543</v>
      </c>
      <c r="E12" s="13" t="s">
        <v>37</v>
      </c>
      <c r="F12" s="57" t="n">
        <v>35</v>
      </c>
      <c r="G12" s="57" t="n">
        <v>35</v>
      </c>
      <c r="H12" s="57" t="n">
        <v>35</v>
      </c>
      <c r="I12" s="57" t="n">
        <v>5</v>
      </c>
      <c r="J12" s="57"/>
      <c r="K12" s="57"/>
      <c r="L12" s="57"/>
      <c r="M12" s="57"/>
      <c r="N12" s="57"/>
      <c r="O12" s="57"/>
    </row>
    <row r="13" customFormat="false" ht="16.4" hidden="false" customHeight="false" outlineLevel="0" collapsed="false">
      <c r="A13" s="56" t="s">
        <v>556</v>
      </c>
      <c r="B13" s="53" t="s">
        <v>545</v>
      </c>
      <c r="C13" s="53" t="s">
        <v>546</v>
      </c>
      <c r="D13" s="54" t="s">
        <v>547</v>
      </c>
      <c r="E13" s="13" t="s">
        <v>37</v>
      </c>
      <c r="F13" s="57" t="n">
        <v>0</v>
      </c>
      <c r="G13" s="57" t="n">
        <v>0</v>
      </c>
      <c r="H13" s="57" t="n">
        <v>0</v>
      </c>
      <c r="I13" s="57" t="n">
        <v>12</v>
      </c>
      <c r="J13" s="57"/>
      <c r="K13" s="57"/>
      <c r="L13" s="57"/>
      <c r="M13" s="57"/>
      <c r="N13" s="57"/>
      <c r="O13" s="57"/>
    </row>
    <row r="14" customFormat="false" ht="46.25" hidden="false" customHeight="false" outlineLevel="0" collapsed="false">
      <c r="A14" s="56" t="s">
        <v>557</v>
      </c>
      <c r="B14" s="53" t="s">
        <v>549</v>
      </c>
      <c r="C14" s="53" t="s">
        <v>161</v>
      </c>
      <c r="D14" s="54" t="s">
        <v>550</v>
      </c>
      <c r="E14" s="13" t="s">
        <v>161</v>
      </c>
      <c r="F14" s="57" t="n">
        <v>0</v>
      </c>
      <c r="G14" s="57" t="n">
        <v>0</v>
      </c>
      <c r="H14" s="57" t="n">
        <v>0</v>
      </c>
      <c r="I14" s="57" t="n">
        <v>1</v>
      </c>
      <c r="J14" s="57"/>
      <c r="K14" s="57"/>
      <c r="L14" s="57"/>
      <c r="M14" s="57"/>
      <c r="N14" s="57"/>
      <c r="O14" s="57"/>
    </row>
    <row r="15" customFormat="false" ht="31.3" hidden="false" customHeight="false" outlineLevel="0" collapsed="false">
      <c r="A15" s="56" t="s">
        <v>558</v>
      </c>
      <c r="B15" s="53" t="s">
        <v>549</v>
      </c>
      <c r="C15" s="53" t="s">
        <v>161</v>
      </c>
      <c r="D15" s="54" t="s">
        <v>552</v>
      </c>
      <c r="E15" s="13" t="s">
        <v>161</v>
      </c>
      <c r="F15" s="57" t="n">
        <v>0</v>
      </c>
      <c r="G15" s="57" t="n">
        <v>0</v>
      </c>
      <c r="H15" s="57" t="n">
        <v>0</v>
      </c>
      <c r="I15" s="57" t="n">
        <v>1</v>
      </c>
      <c r="J15" s="57"/>
      <c r="K15" s="57"/>
      <c r="L15" s="57"/>
      <c r="M15" s="57"/>
      <c r="N15" s="57"/>
      <c r="O15" s="57"/>
    </row>
    <row r="16" customFormat="false" ht="31.3" hidden="false" customHeight="false" outlineLevel="0" collapsed="false">
      <c r="A16" s="56" t="s">
        <v>559</v>
      </c>
      <c r="B16" s="53" t="s">
        <v>549</v>
      </c>
      <c r="C16" s="53" t="s">
        <v>161</v>
      </c>
      <c r="D16" s="54" t="s">
        <v>554</v>
      </c>
      <c r="E16" s="13" t="s">
        <v>161</v>
      </c>
      <c r="F16" s="57" t="n">
        <v>0</v>
      </c>
      <c r="G16" s="57" t="n">
        <v>0</v>
      </c>
      <c r="H16" s="57" t="n">
        <v>0</v>
      </c>
      <c r="I16" s="57" t="n">
        <v>1</v>
      </c>
      <c r="J16" s="57"/>
      <c r="K16" s="57"/>
      <c r="L16" s="57"/>
      <c r="M16" s="57"/>
      <c r="N16" s="57"/>
      <c r="O16" s="57"/>
    </row>
    <row r="17" customFormat="false" ht="16.4" hidden="false" customHeight="false" outlineLevel="0" collapsed="false">
      <c r="A17" s="56" t="s">
        <v>560</v>
      </c>
      <c r="B17" s="53" t="s">
        <v>541</v>
      </c>
      <c r="C17" s="53" t="s">
        <v>542</v>
      </c>
      <c r="D17" s="54" t="s">
        <v>543</v>
      </c>
      <c r="E17" s="13" t="s">
        <v>37</v>
      </c>
      <c r="F17" s="57" t="n">
        <v>35</v>
      </c>
      <c r="G17" s="57" t="n">
        <v>35</v>
      </c>
      <c r="H17" s="57" t="n">
        <v>35</v>
      </c>
      <c r="I17" s="57" t="n">
        <v>5</v>
      </c>
      <c r="J17" s="57"/>
      <c r="K17" s="57"/>
      <c r="L17" s="57"/>
      <c r="M17" s="57"/>
      <c r="N17" s="57"/>
      <c r="O17" s="57"/>
    </row>
    <row r="18" customFormat="false" ht="16.4" hidden="false" customHeight="false" outlineLevel="0" collapsed="false">
      <c r="A18" s="56" t="s">
        <v>561</v>
      </c>
      <c r="B18" s="53" t="s">
        <v>545</v>
      </c>
      <c r="C18" s="53" t="s">
        <v>546</v>
      </c>
      <c r="D18" s="54" t="s">
        <v>547</v>
      </c>
      <c r="E18" s="13" t="s">
        <v>37</v>
      </c>
      <c r="F18" s="57" t="n">
        <v>0</v>
      </c>
      <c r="G18" s="57" t="n">
        <v>0</v>
      </c>
      <c r="H18" s="57" t="n">
        <v>0</v>
      </c>
      <c r="I18" s="57" t="n">
        <v>12</v>
      </c>
      <c r="J18" s="57"/>
      <c r="K18" s="57"/>
      <c r="L18" s="57"/>
      <c r="M18" s="57"/>
      <c r="N18" s="57"/>
      <c r="O18" s="57"/>
    </row>
    <row r="19" customFormat="false" ht="46.25" hidden="false" customHeight="false" outlineLevel="0" collapsed="false">
      <c r="A19" s="56" t="s">
        <v>562</v>
      </c>
      <c r="B19" s="53" t="s">
        <v>549</v>
      </c>
      <c r="C19" s="53" t="s">
        <v>161</v>
      </c>
      <c r="D19" s="54" t="s">
        <v>550</v>
      </c>
      <c r="E19" s="13" t="s">
        <v>161</v>
      </c>
      <c r="F19" s="57" t="n">
        <v>0</v>
      </c>
      <c r="G19" s="57" t="n">
        <v>0</v>
      </c>
      <c r="H19" s="57" t="n">
        <v>0</v>
      </c>
      <c r="I19" s="57" t="n">
        <v>1</v>
      </c>
      <c r="J19" s="57"/>
      <c r="K19" s="57"/>
      <c r="L19" s="57"/>
      <c r="M19" s="57"/>
      <c r="N19" s="57"/>
      <c r="O19" s="57"/>
    </row>
    <row r="20" customFormat="false" ht="31.3" hidden="false" customHeight="false" outlineLevel="0" collapsed="false">
      <c r="A20" s="56" t="s">
        <v>563</v>
      </c>
      <c r="B20" s="53" t="s">
        <v>549</v>
      </c>
      <c r="C20" s="53" t="s">
        <v>161</v>
      </c>
      <c r="D20" s="54" t="s">
        <v>552</v>
      </c>
      <c r="E20" s="13" t="s">
        <v>161</v>
      </c>
      <c r="F20" s="57" t="n">
        <v>0</v>
      </c>
      <c r="G20" s="57" t="n">
        <v>0</v>
      </c>
      <c r="H20" s="57" t="n">
        <v>0</v>
      </c>
      <c r="I20" s="57" t="n">
        <v>1</v>
      </c>
      <c r="J20" s="57"/>
      <c r="K20" s="57"/>
      <c r="L20" s="57"/>
      <c r="M20" s="57"/>
      <c r="N20" s="57"/>
      <c r="O20" s="57"/>
    </row>
    <row r="21" customFormat="false" ht="31.3" hidden="false" customHeight="false" outlineLevel="0" collapsed="false">
      <c r="A21" s="56" t="s">
        <v>564</v>
      </c>
      <c r="B21" s="53" t="s">
        <v>549</v>
      </c>
      <c r="C21" s="53" t="s">
        <v>161</v>
      </c>
      <c r="D21" s="54" t="s">
        <v>554</v>
      </c>
      <c r="E21" s="13" t="s">
        <v>161</v>
      </c>
      <c r="F21" s="57" t="n">
        <v>0</v>
      </c>
      <c r="G21" s="57" t="n">
        <v>0</v>
      </c>
      <c r="H21" s="57" t="n">
        <v>0</v>
      </c>
      <c r="I21" s="57" t="n">
        <v>0</v>
      </c>
      <c r="J21" s="57"/>
      <c r="K21" s="57"/>
      <c r="L21" s="57"/>
      <c r="M21" s="57"/>
      <c r="N21" s="57"/>
      <c r="O21" s="57"/>
    </row>
    <row r="22" customFormat="false" ht="46.25" hidden="false" customHeight="false" outlineLevel="0" collapsed="false">
      <c r="A22" s="52" t="s">
        <v>565</v>
      </c>
      <c r="B22" s="53" t="s">
        <v>566</v>
      </c>
      <c r="C22" s="53" t="s">
        <v>542</v>
      </c>
      <c r="D22" s="54" t="s">
        <v>567</v>
      </c>
      <c r="E22" s="13" t="s">
        <v>37</v>
      </c>
      <c r="F22" s="55" t="n">
        <v>7</v>
      </c>
      <c r="G22" s="55" t="n">
        <v>7</v>
      </c>
      <c r="H22" s="55" t="n">
        <v>7</v>
      </c>
      <c r="I22" s="55" t="n">
        <v>0</v>
      </c>
      <c r="J22" s="55"/>
      <c r="K22" s="55"/>
      <c r="L22" s="55"/>
      <c r="M22" s="55"/>
      <c r="N22" s="55"/>
      <c r="O22" s="55"/>
    </row>
    <row r="23" customFormat="false" ht="31.3" hidden="false" customHeight="false" outlineLevel="0" collapsed="false">
      <c r="A23" s="52" t="s">
        <v>568</v>
      </c>
      <c r="B23" s="53" t="s">
        <v>569</v>
      </c>
      <c r="C23" s="53" t="s">
        <v>161</v>
      </c>
      <c r="D23" s="54" t="s">
        <v>570</v>
      </c>
      <c r="E23" s="13" t="s">
        <v>37</v>
      </c>
      <c r="F23" s="55" t="n">
        <v>0</v>
      </c>
      <c r="G23" s="55" t="n">
        <v>0</v>
      </c>
      <c r="H23" s="55" t="n">
        <v>0</v>
      </c>
      <c r="I23" s="55" t="n">
        <v>1</v>
      </c>
      <c r="J23" s="55"/>
      <c r="K23" s="55"/>
      <c r="L23" s="55"/>
      <c r="M23" s="55"/>
      <c r="N23" s="55"/>
      <c r="O23" s="55"/>
    </row>
    <row r="24" customFormat="false" ht="15" hidden="false" customHeight="false" outlineLevel="0" collapsed="false">
      <c r="A24" s="18" t="s">
        <v>571</v>
      </c>
    </row>
    <row r="25" customFormat="false" ht="31.3" hidden="false" customHeight="false" outlineLevel="0" collapsed="false">
      <c r="A25" s="56" t="s">
        <v>572</v>
      </c>
      <c r="B25" s="53" t="s">
        <v>573</v>
      </c>
      <c r="C25" s="53" t="s">
        <v>574</v>
      </c>
      <c r="D25" s="54" t="s">
        <v>575</v>
      </c>
      <c r="E25" s="13" t="s">
        <v>37</v>
      </c>
      <c r="F25" s="57" t="n">
        <v>100</v>
      </c>
      <c r="G25" s="57" t="n">
        <v>100</v>
      </c>
      <c r="H25" s="57" t="n">
        <v>100</v>
      </c>
      <c r="I25" s="57" t="n">
        <v>100</v>
      </c>
      <c r="J25" s="57"/>
      <c r="K25" s="57"/>
      <c r="L25" s="57"/>
      <c r="M25" s="57"/>
      <c r="N25" s="57"/>
      <c r="O25" s="57"/>
    </row>
    <row r="26" customFormat="false" ht="15" hidden="false" customHeight="false" outlineLevel="0" collapsed="false">
      <c r="A26" s="18" t="s">
        <v>576</v>
      </c>
    </row>
    <row r="27" customFormat="false" ht="16.4" hidden="false" customHeight="false" outlineLevel="0" collapsed="false">
      <c r="A27" s="52" t="s">
        <v>577</v>
      </c>
      <c r="B27" s="53" t="s">
        <v>578</v>
      </c>
      <c r="C27" s="53" t="s">
        <v>542</v>
      </c>
      <c r="D27" s="54" t="s">
        <v>579</v>
      </c>
      <c r="E27" s="13" t="s">
        <v>37</v>
      </c>
      <c r="F27" s="55" t="n">
        <v>10</v>
      </c>
      <c r="G27" s="55" t="n">
        <v>10</v>
      </c>
      <c r="H27" s="55" t="n">
        <v>10</v>
      </c>
      <c r="I27" s="55" t="n">
        <v>8.5</v>
      </c>
      <c r="J27" s="55"/>
      <c r="K27" s="55"/>
      <c r="L27" s="55"/>
      <c r="M27" s="55"/>
      <c r="N27" s="55"/>
      <c r="O27" s="55"/>
    </row>
    <row r="28" customFormat="false" ht="16.4" hidden="false" customHeight="false" outlineLevel="0" collapsed="false">
      <c r="A28" s="52" t="s">
        <v>580</v>
      </c>
      <c r="B28" s="53" t="s">
        <v>581</v>
      </c>
      <c r="C28" s="53" t="s">
        <v>542</v>
      </c>
      <c r="D28" s="54" t="s">
        <v>582</v>
      </c>
      <c r="E28" s="13" t="s">
        <v>37</v>
      </c>
      <c r="F28" s="55"/>
      <c r="G28" s="55"/>
      <c r="H28" s="55"/>
      <c r="I28" s="55"/>
      <c r="J28" s="55"/>
      <c r="K28" s="55"/>
      <c r="L28" s="55"/>
      <c r="M28" s="55"/>
      <c r="N28" s="55"/>
      <c r="O28" s="55"/>
    </row>
    <row r="29" customFormat="false" ht="16.4" hidden="false" customHeight="false" outlineLevel="0" collapsed="false">
      <c r="A29" s="52" t="s">
        <v>583</v>
      </c>
      <c r="B29" s="53" t="s">
        <v>584</v>
      </c>
      <c r="C29" s="53" t="s">
        <v>585</v>
      </c>
      <c r="D29" s="54" t="s">
        <v>586</v>
      </c>
      <c r="E29" s="13" t="s">
        <v>98</v>
      </c>
      <c r="F29" s="55"/>
      <c r="G29" s="55"/>
      <c r="H29" s="55"/>
      <c r="I29" s="55"/>
      <c r="J29" s="55"/>
      <c r="K29" s="55"/>
      <c r="L29" s="55"/>
      <c r="M29" s="55"/>
      <c r="N29" s="55"/>
      <c r="O29" s="55"/>
    </row>
    <row r="30" customFormat="false" ht="16.4" hidden="false" customHeight="false" outlineLevel="0" collapsed="false">
      <c r="A30" s="52" t="s">
        <v>587</v>
      </c>
      <c r="B30" s="53" t="s">
        <v>588</v>
      </c>
      <c r="C30" s="53" t="s">
        <v>542</v>
      </c>
      <c r="D30" s="54" t="s">
        <v>582</v>
      </c>
      <c r="E30" s="13" t="s">
        <v>37</v>
      </c>
      <c r="F30" s="55"/>
      <c r="G30" s="55"/>
      <c r="H30" s="55"/>
      <c r="I30" s="55"/>
      <c r="J30" s="55"/>
      <c r="K30" s="55"/>
      <c r="L30" s="55"/>
      <c r="M30" s="55"/>
      <c r="N30" s="55"/>
      <c r="O30" s="55"/>
    </row>
    <row r="31" customFormat="false" ht="16.4" hidden="false" customHeight="false" outlineLevel="0" collapsed="false">
      <c r="A31" s="52" t="s">
        <v>589</v>
      </c>
      <c r="B31" s="53" t="s">
        <v>590</v>
      </c>
      <c r="C31" s="53" t="s">
        <v>585</v>
      </c>
      <c r="D31" s="54" t="s">
        <v>586</v>
      </c>
      <c r="E31" s="13" t="s">
        <v>98</v>
      </c>
      <c r="F31" s="55"/>
      <c r="G31" s="55"/>
      <c r="H31" s="55"/>
      <c r="I31" s="55"/>
      <c r="J31" s="55"/>
      <c r="K31" s="55"/>
      <c r="L31" s="55"/>
      <c r="M31" s="55"/>
      <c r="N31" s="55"/>
      <c r="O31" s="55"/>
    </row>
    <row r="32" customFormat="false" ht="16.4" hidden="false" customHeight="false" outlineLevel="0" collapsed="false">
      <c r="A32" s="52" t="s">
        <v>591</v>
      </c>
      <c r="B32" s="53" t="s">
        <v>581</v>
      </c>
      <c r="C32" s="53" t="s">
        <v>542</v>
      </c>
      <c r="D32" s="54" t="s">
        <v>582</v>
      </c>
      <c r="E32" s="13" t="s">
        <v>37</v>
      </c>
      <c r="F32" s="55"/>
      <c r="G32" s="55"/>
      <c r="H32" s="55"/>
      <c r="I32" s="55" t="n">
        <v>3.1</v>
      </c>
      <c r="J32" s="55"/>
      <c r="K32" s="55"/>
      <c r="L32" s="55"/>
      <c r="M32" s="55"/>
      <c r="N32" s="55"/>
      <c r="O32" s="55"/>
    </row>
    <row r="33" customFormat="false" ht="16.4" hidden="false" customHeight="false" outlineLevel="0" collapsed="false">
      <c r="A33" s="52" t="s">
        <v>592</v>
      </c>
      <c r="B33" s="53" t="s">
        <v>584</v>
      </c>
      <c r="C33" s="53" t="s">
        <v>585</v>
      </c>
      <c r="D33" s="54" t="s">
        <v>586</v>
      </c>
      <c r="E33" s="13" t="s">
        <v>98</v>
      </c>
      <c r="F33" s="55"/>
      <c r="G33" s="55"/>
      <c r="H33" s="55"/>
      <c r="I33" s="55" t="s">
        <v>99</v>
      </c>
      <c r="J33" s="55"/>
      <c r="K33" s="55"/>
      <c r="L33" s="55"/>
      <c r="M33" s="55"/>
      <c r="N33" s="55"/>
      <c r="O33" s="55"/>
    </row>
    <row r="34" customFormat="false" ht="16.4" hidden="false" customHeight="false" outlineLevel="0" collapsed="false">
      <c r="A34" s="52" t="s">
        <v>593</v>
      </c>
      <c r="B34" s="53" t="s">
        <v>588</v>
      </c>
      <c r="C34" s="53" t="s">
        <v>542</v>
      </c>
      <c r="D34" s="54" t="s">
        <v>582</v>
      </c>
      <c r="E34" s="13" t="s">
        <v>37</v>
      </c>
      <c r="F34" s="55"/>
      <c r="G34" s="55"/>
      <c r="H34" s="55"/>
      <c r="I34" s="55" t="n">
        <v>11.9</v>
      </c>
      <c r="J34" s="55"/>
      <c r="K34" s="55"/>
      <c r="L34" s="55"/>
      <c r="M34" s="55"/>
      <c r="N34" s="55"/>
      <c r="O34" s="55"/>
    </row>
    <row r="35" customFormat="false" ht="16.4" hidden="false" customHeight="false" outlineLevel="0" collapsed="false">
      <c r="A35" s="52" t="s">
        <v>594</v>
      </c>
      <c r="B35" s="53" t="s">
        <v>590</v>
      </c>
      <c r="C35" s="53" t="s">
        <v>585</v>
      </c>
      <c r="D35" s="54" t="s">
        <v>586</v>
      </c>
      <c r="E35" s="13" t="s">
        <v>98</v>
      </c>
      <c r="F35" s="55"/>
      <c r="G35" s="55"/>
      <c r="H35" s="55"/>
      <c r="I35" s="55" t="s">
        <v>595</v>
      </c>
      <c r="J35" s="55"/>
      <c r="K35" s="55"/>
      <c r="L35" s="55"/>
      <c r="M35" s="55"/>
      <c r="N35" s="55"/>
      <c r="O35" s="55"/>
    </row>
    <row r="36" customFormat="false" ht="16.4" hidden="false" customHeight="false" outlineLevel="0" collapsed="false">
      <c r="A36" s="52" t="s">
        <v>596</v>
      </c>
      <c r="B36" s="53" t="s">
        <v>581</v>
      </c>
      <c r="C36" s="53" t="s">
        <v>542</v>
      </c>
      <c r="D36" s="54" t="s">
        <v>582</v>
      </c>
      <c r="E36" s="13" t="s">
        <v>37</v>
      </c>
      <c r="F36" s="55"/>
      <c r="G36" s="55"/>
      <c r="H36" s="55"/>
      <c r="I36" s="55" t="n">
        <v>3.1</v>
      </c>
      <c r="J36" s="55"/>
      <c r="K36" s="55"/>
      <c r="L36" s="55"/>
      <c r="M36" s="55"/>
      <c r="N36" s="55"/>
      <c r="O36" s="55"/>
    </row>
    <row r="37" customFormat="false" ht="16.4" hidden="false" customHeight="false" outlineLevel="0" collapsed="false">
      <c r="A37" s="52" t="s">
        <v>597</v>
      </c>
      <c r="B37" s="53" t="s">
        <v>584</v>
      </c>
      <c r="C37" s="53" t="s">
        <v>585</v>
      </c>
      <c r="D37" s="54" t="s">
        <v>586</v>
      </c>
      <c r="E37" s="13" t="s">
        <v>98</v>
      </c>
      <c r="F37" s="55"/>
      <c r="G37" s="55"/>
      <c r="H37" s="55"/>
      <c r="I37" s="55" t="s">
        <v>99</v>
      </c>
      <c r="J37" s="55"/>
      <c r="K37" s="55"/>
      <c r="L37" s="55"/>
      <c r="M37" s="55"/>
      <c r="N37" s="55"/>
      <c r="O37" s="55"/>
    </row>
    <row r="38" customFormat="false" ht="16.4" hidden="false" customHeight="false" outlineLevel="0" collapsed="false">
      <c r="A38" s="52" t="s">
        <v>598</v>
      </c>
      <c r="B38" s="53" t="s">
        <v>588</v>
      </c>
      <c r="C38" s="53" t="s">
        <v>542</v>
      </c>
      <c r="D38" s="54" t="s">
        <v>582</v>
      </c>
      <c r="E38" s="13" t="s">
        <v>37</v>
      </c>
      <c r="F38" s="55"/>
      <c r="G38" s="55"/>
      <c r="H38" s="55"/>
      <c r="I38" s="55" t="n">
        <v>11.9</v>
      </c>
      <c r="J38" s="55"/>
      <c r="K38" s="55"/>
      <c r="L38" s="55"/>
      <c r="M38" s="55"/>
      <c r="N38" s="55"/>
      <c r="O38" s="55"/>
    </row>
    <row r="39" customFormat="false" ht="16.4" hidden="false" customHeight="false" outlineLevel="0" collapsed="false">
      <c r="A39" s="52" t="s">
        <v>599</v>
      </c>
      <c r="B39" s="53" t="s">
        <v>590</v>
      </c>
      <c r="C39" s="53" t="s">
        <v>585</v>
      </c>
      <c r="D39" s="54" t="s">
        <v>586</v>
      </c>
      <c r="E39" s="13" t="s">
        <v>98</v>
      </c>
      <c r="F39" s="55"/>
      <c r="G39" s="55"/>
      <c r="H39" s="55"/>
      <c r="I39" s="55" t="s">
        <v>595</v>
      </c>
      <c r="J39" s="55"/>
      <c r="K39" s="55"/>
      <c r="L39" s="55"/>
      <c r="M39" s="55"/>
      <c r="N39" s="55"/>
      <c r="O39" s="55"/>
    </row>
  </sheetData>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I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0" activeCellId="0" sqref="D10"/>
    </sheetView>
  </sheetViews>
  <sheetFormatPr defaultColWidth="10.59765625" defaultRowHeight="15" zeroHeight="false" outlineLevelRow="0" outlineLevelCol="0"/>
  <cols>
    <col collapsed="false" customWidth="true" hidden="false" outlineLevel="0" max="1" min="1" style="0" width="33.43"/>
    <col collapsed="false" customWidth="true" hidden="false" outlineLevel="0" max="2" min="2" style="0" width="40.14"/>
    <col collapsed="false" customWidth="true" hidden="false" outlineLevel="0" max="4" min="4" style="0" width="57.14"/>
    <col collapsed="false" customWidth="true" hidden="false" outlineLevel="0" max="5" min="5" style="0" width="8.86"/>
    <col collapsed="false" customWidth="true" hidden="false" outlineLevel="0" max="8" min="8" style="0" width="14.57"/>
    <col collapsed="false" customWidth="true" hidden="false" outlineLevel="0" max="9" min="9" style="0" width="15.43"/>
  </cols>
  <sheetData>
    <row r="1" customFormat="false" ht="15" hidden="false" customHeight="false" outlineLevel="0" collapsed="false">
      <c r="A1" s="6" t="str">
        <f aca="false">Location!A1</f>
        <v>PARAMETERS</v>
      </c>
      <c r="B1" s="6"/>
      <c r="C1" s="6"/>
      <c r="D1" s="6"/>
      <c r="E1" s="6"/>
      <c r="F1" s="6" t="str">
        <f aca="false">Location!F1</f>
        <v>SCENARIO VALUES</v>
      </c>
      <c r="G1" s="6"/>
      <c r="H1" s="6"/>
      <c r="I1" s="6"/>
    </row>
    <row r="2" s="6" customFormat="true" ht="15" hidden="false" customHeight="false" outlineLevel="0" collapsed="false">
      <c r="A2" s="9" t="s">
        <v>44</v>
      </c>
      <c r="B2" s="10" t="s">
        <v>26</v>
      </c>
      <c r="C2" s="10" t="s">
        <v>27</v>
      </c>
      <c r="D2" s="10" t="s">
        <v>28</v>
      </c>
      <c r="E2" s="10" t="s">
        <v>29</v>
      </c>
      <c r="F2" s="11" t="str">
        <f aca="false">Location!F2</f>
        <v>BAU</v>
      </c>
      <c r="G2" s="11" t="str">
        <f aca="false">Location!G2</f>
        <v>PV + HP</v>
      </c>
      <c r="H2" s="11" t="str">
        <f aca="false">Location!H2</f>
        <v>Refurbished</v>
      </c>
      <c r="I2" s="11" t="str">
        <f aca="false">Location!I2</f>
        <v>Flex</v>
      </c>
    </row>
    <row r="3" customFormat="false" ht="16.4" hidden="false" customHeight="false" outlineLevel="0" collapsed="false">
      <c r="A3" s="52" t="s">
        <v>600</v>
      </c>
      <c r="B3" s="54" t="s">
        <v>601</v>
      </c>
      <c r="C3" s="53" t="s">
        <v>272</v>
      </c>
      <c r="D3" s="53" t="s">
        <v>602</v>
      </c>
      <c r="E3" s="53" t="s">
        <v>194</v>
      </c>
      <c r="F3" s="55" t="n">
        <v>2023</v>
      </c>
      <c r="G3" s="55" t="n">
        <v>2023</v>
      </c>
      <c r="H3" s="55" t="n">
        <v>2023</v>
      </c>
      <c r="I3" s="55" t="n">
        <v>2023</v>
      </c>
    </row>
    <row r="4" customFormat="false" ht="31.3" hidden="false" customHeight="false" outlineLevel="0" collapsed="false">
      <c r="A4" s="52" t="s">
        <v>603</v>
      </c>
      <c r="B4" s="54" t="s">
        <v>604</v>
      </c>
      <c r="C4" s="53" t="s">
        <v>161</v>
      </c>
      <c r="D4" s="53" t="s">
        <v>605</v>
      </c>
      <c r="E4" s="53" t="s">
        <v>161</v>
      </c>
      <c r="F4" s="55" t="n">
        <v>1</v>
      </c>
      <c r="G4" s="55" t="n">
        <v>1</v>
      </c>
      <c r="H4" s="55" t="n">
        <v>1</v>
      </c>
      <c r="I4" s="55" t="n">
        <v>1</v>
      </c>
    </row>
  </sheetData>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M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K29" activeCellId="0" sqref="K29"/>
    </sheetView>
  </sheetViews>
  <sheetFormatPr defaultColWidth="10.59765625" defaultRowHeight="15" zeroHeight="false" outlineLevelRow="0" outlineLevelCol="0"/>
  <cols>
    <col collapsed="false" customWidth="true" hidden="false" outlineLevel="0" max="1" min="1" style="6" width="26.86"/>
  </cols>
  <sheetData>
    <row r="1" customFormat="false" ht="15" hidden="false" customHeight="false" outlineLevel="0" collapsed="false">
      <c r="A1" s="6" t="s">
        <v>606</v>
      </c>
      <c r="C1" s="18"/>
      <c r="D1" s="18" t="s">
        <v>607</v>
      </c>
    </row>
    <row r="2" s="6" customFormat="true" ht="15" hidden="false" customHeight="false" outlineLevel="0" collapsed="false">
      <c r="A2" s="9" t="s">
        <v>608</v>
      </c>
      <c r="B2" s="9" t="s">
        <v>609</v>
      </c>
      <c r="C2" s="9" t="s">
        <v>610</v>
      </c>
      <c r="D2" s="11" t="n">
        <v>-20</v>
      </c>
      <c r="E2" s="11" t="n">
        <v>-15</v>
      </c>
      <c r="F2" s="11" t="n">
        <v>-10</v>
      </c>
      <c r="G2" s="11" t="n">
        <v>-7</v>
      </c>
      <c r="H2" s="11" t="n">
        <v>2</v>
      </c>
      <c r="I2" s="11" t="n">
        <v>7</v>
      </c>
      <c r="J2" s="11" t="n">
        <v>10</v>
      </c>
      <c r="K2" s="11" t="n">
        <v>20</v>
      </c>
      <c r="L2" s="11" t="n">
        <v>30</v>
      </c>
      <c r="M2" s="11" t="n">
        <v>35</v>
      </c>
    </row>
    <row r="3" customFormat="false" ht="15" hidden="false" customHeight="false" outlineLevel="0" collapsed="false">
      <c r="A3" s="9" t="str">
        <f aca="false" t="array" ref="A3:A3">Tabelle5[hp_types_air_water]</f>
        <v>vitocal_250A</v>
      </c>
      <c r="B3" s="58" t="s">
        <v>611</v>
      </c>
      <c r="C3" s="58" t="n">
        <v>25</v>
      </c>
      <c r="D3" s="59" t="n">
        <v>2.6</v>
      </c>
      <c r="E3" s="59" t="n">
        <v>2.8</v>
      </c>
      <c r="F3" s="59" t="n">
        <v>3.2</v>
      </c>
      <c r="G3" s="59" t="n">
        <v>3.4</v>
      </c>
      <c r="H3" s="59" t="n">
        <v>4.5</v>
      </c>
      <c r="I3" s="59" t="n">
        <v>5.8</v>
      </c>
      <c r="J3" s="59" t="n">
        <v>5.8</v>
      </c>
      <c r="K3" s="59" t="n">
        <v>8.4</v>
      </c>
      <c r="L3" s="59" t="n">
        <v>8.7</v>
      </c>
      <c r="M3" s="59" t="n">
        <v>8.7</v>
      </c>
    </row>
    <row r="4" customFormat="false" ht="15" hidden="false" customHeight="false" outlineLevel="0" collapsed="false">
      <c r="A4" s="9" t="str">
        <f aca="false" t="array" ref="A4:A4">Tabelle5[hp_types_air_water]</f>
        <v>vitocal_250A</v>
      </c>
      <c r="B4" s="58" t="s">
        <v>611</v>
      </c>
      <c r="C4" s="58" t="n">
        <v>35</v>
      </c>
      <c r="D4" s="24" t="n">
        <v>2.3</v>
      </c>
      <c r="E4" s="24" t="n">
        <v>2.5</v>
      </c>
      <c r="F4" s="24" t="n">
        <v>2.8</v>
      </c>
      <c r="G4" s="24" t="n">
        <v>3</v>
      </c>
      <c r="H4" s="24" t="n">
        <v>4</v>
      </c>
      <c r="I4" s="24" t="n">
        <v>5.2</v>
      </c>
      <c r="J4" s="24" t="n">
        <v>5.2</v>
      </c>
      <c r="K4" s="24" t="n">
        <v>8.2</v>
      </c>
      <c r="L4" s="24" t="n">
        <v>8.7</v>
      </c>
      <c r="M4" s="24" t="n">
        <v>8.7</v>
      </c>
    </row>
    <row r="5" customFormat="false" ht="15" hidden="false" customHeight="false" outlineLevel="0" collapsed="false">
      <c r="A5" s="9" t="str">
        <f aca="false" t="array" ref="A5:A5">Tabelle5[hp_types_air_water]</f>
        <v>vitocal_250A</v>
      </c>
      <c r="B5" s="58" t="s">
        <v>611</v>
      </c>
      <c r="C5" s="58" t="n">
        <v>45</v>
      </c>
      <c r="D5" s="24" t="n">
        <v>2</v>
      </c>
      <c r="E5" s="24" t="n">
        <v>2.2</v>
      </c>
      <c r="F5" s="24" t="n">
        <v>2.4</v>
      </c>
      <c r="G5" s="24" t="n">
        <v>2.6</v>
      </c>
      <c r="H5" s="24" t="n">
        <v>3.3</v>
      </c>
      <c r="I5" s="24" t="n">
        <v>4.1</v>
      </c>
      <c r="J5" s="24" t="n">
        <v>4.8</v>
      </c>
      <c r="K5" s="24" t="n">
        <v>5.4</v>
      </c>
      <c r="L5" s="24" t="n">
        <v>8.5</v>
      </c>
      <c r="M5" s="24" t="n">
        <v>8.5</v>
      </c>
    </row>
    <row r="6" customFormat="false" ht="15" hidden="false" customHeight="false" outlineLevel="0" collapsed="false">
      <c r="A6" s="9" t="str">
        <f aca="false" t="array" ref="A6:A6">Tabelle5[hp_types_air_water]</f>
        <v>vitocal_250A</v>
      </c>
      <c r="B6" s="58" t="s">
        <v>611</v>
      </c>
      <c r="C6" s="58" t="n">
        <v>55</v>
      </c>
      <c r="D6" s="24" t="n">
        <v>1.8</v>
      </c>
      <c r="E6" s="24" t="n">
        <v>2</v>
      </c>
      <c r="F6" s="24" t="n">
        <v>2.2</v>
      </c>
      <c r="G6" s="24" t="n">
        <v>2.3</v>
      </c>
      <c r="H6" s="24" t="n">
        <v>2.8</v>
      </c>
      <c r="I6" s="24" t="n">
        <v>3.4</v>
      </c>
      <c r="J6" s="24" t="n">
        <v>3.7</v>
      </c>
      <c r="K6" s="24" t="n">
        <v>4.8</v>
      </c>
      <c r="L6" s="24" t="n">
        <v>6.4</v>
      </c>
      <c r="M6" s="24" t="n">
        <v>6.4</v>
      </c>
    </row>
    <row r="7" customFormat="false" ht="15" hidden="false" customHeight="false" outlineLevel="0" collapsed="false">
      <c r="A7" s="9" t="str">
        <f aca="false" t="array" ref="A7:A7">Tabelle5[hp_types_air_water]</f>
        <v>vitocal_250A</v>
      </c>
      <c r="B7" s="58" t="s">
        <v>611</v>
      </c>
      <c r="C7" s="58" t="n">
        <v>65</v>
      </c>
      <c r="D7" s="24" t="n">
        <v>1.6</v>
      </c>
      <c r="E7" s="24" t="n">
        <v>1.8</v>
      </c>
      <c r="F7" s="24" t="n">
        <v>2</v>
      </c>
      <c r="G7" s="24" t="n">
        <v>2.1</v>
      </c>
      <c r="H7" s="24" t="n">
        <v>2.5</v>
      </c>
      <c r="I7" s="24" t="n">
        <v>2.8</v>
      </c>
      <c r="J7" s="24" t="n">
        <v>3</v>
      </c>
      <c r="K7" s="24" t="n">
        <v>3.7</v>
      </c>
      <c r="L7" s="24" t="n">
        <v>4.7</v>
      </c>
      <c r="M7" s="24" t="n">
        <v>4.7</v>
      </c>
    </row>
    <row r="8" customFormat="false" ht="15" hidden="false" customHeight="false" outlineLevel="0" collapsed="false">
      <c r="A8" s="9" t="str">
        <f aca="false" t="array" ref="A8:A8">Tabelle5[hp_types_air_water]</f>
        <v>vitocal_250A</v>
      </c>
      <c r="B8" s="58" t="s">
        <v>611</v>
      </c>
      <c r="C8" s="58" t="n">
        <v>70</v>
      </c>
      <c r="D8" s="24" t="n">
        <v>0</v>
      </c>
      <c r="E8" s="24" t="n">
        <v>0</v>
      </c>
      <c r="F8" s="24" t="n">
        <v>1.8</v>
      </c>
      <c r="G8" s="24" t="n">
        <v>1.9</v>
      </c>
      <c r="H8" s="24" t="n">
        <v>2.3</v>
      </c>
      <c r="I8" s="24" t="n">
        <v>2.6</v>
      </c>
      <c r="J8" s="24" t="n">
        <v>2.7</v>
      </c>
      <c r="K8" s="24" t="n">
        <v>3.3</v>
      </c>
      <c r="L8" s="24" t="n">
        <v>4.1</v>
      </c>
      <c r="M8" s="24" t="n">
        <v>4.1</v>
      </c>
    </row>
    <row r="9" customFormat="false" ht="15" hidden="false" customHeight="false" outlineLevel="0" collapsed="false">
      <c r="A9" s="9" t="str">
        <f aca="false" t="array" ref="A9:A9">Tabelle5[hp_types_air_water]</f>
        <v>vitocal_250A</v>
      </c>
      <c r="B9" s="58" t="s">
        <v>612</v>
      </c>
      <c r="C9" s="58" t="n">
        <v>25</v>
      </c>
      <c r="D9" s="24" t="n">
        <v>0.75</v>
      </c>
      <c r="E9" s="24" t="n">
        <v>0.85</v>
      </c>
      <c r="F9" s="24" t="n">
        <v>0.97</v>
      </c>
      <c r="G9" s="24" t="n">
        <v>1.04</v>
      </c>
      <c r="H9" s="24" t="n">
        <v>0.62</v>
      </c>
      <c r="I9" s="24" t="n">
        <v>0.76</v>
      </c>
      <c r="J9" s="24" t="n">
        <v>0.84</v>
      </c>
      <c r="K9" s="24" t="n">
        <v>1.09</v>
      </c>
      <c r="L9" s="24" t="n">
        <v>0.86</v>
      </c>
      <c r="M9" s="24" t="n">
        <v>0.86</v>
      </c>
    </row>
    <row r="10" customFormat="false" ht="15" hidden="false" customHeight="false" outlineLevel="0" collapsed="false">
      <c r="A10" s="9" t="str">
        <f aca="false" t="array" ref="A10:A10">Tabelle5[hp_types_air_water]</f>
        <v>vitocal_250A</v>
      </c>
      <c r="B10" s="58" t="s">
        <v>612</v>
      </c>
      <c r="C10" s="58" t="n">
        <v>35</v>
      </c>
      <c r="D10" s="24" t="n">
        <v>0.7</v>
      </c>
      <c r="E10" s="24" t="n">
        <v>0.8</v>
      </c>
      <c r="F10" s="24" t="n">
        <v>0.93</v>
      </c>
      <c r="G10" s="24" t="n">
        <v>1</v>
      </c>
      <c r="H10" s="24" t="n">
        <v>0.6</v>
      </c>
      <c r="I10" s="24" t="n">
        <v>0.73</v>
      </c>
      <c r="J10" s="24" t="n">
        <v>0.79</v>
      </c>
      <c r="K10" s="24" t="n">
        <v>1.05</v>
      </c>
      <c r="L10" s="24" t="n">
        <v>1.08</v>
      </c>
      <c r="M10" s="24" t="n">
        <v>1.08</v>
      </c>
    </row>
    <row r="11" customFormat="false" ht="15" hidden="false" customHeight="false" outlineLevel="0" collapsed="false">
      <c r="A11" s="9" t="str">
        <f aca="false" t="array" ref="A11:A11">Tabelle5[hp_types_air_water]</f>
        <v>vitocal_250A</v>
      </c>
      <c r="B11" s="58" t="s">
        <v>612</v>
      </c>
      <c r="C11" s="58" t="n">
        <v>45</v>
      </c>
      <c r="D11" s="24" t="n">
        <v>0.66</v>
      </c>
      <c r="E11" s="24" t="n">
        <v>0.76</v>
      </c>
      <c r="F11" s="24" t="n">
        <v>0.88</v>
      </c>
      <c r="G11" s="24" t="n">
        <v>0.96</v>
      </c>
      <c r="H11" s="24" t="n">
        <v>0.59</v>
      </c>
      <c r="I11" s="24" t="n">
        <v>0.7</v>
      </c>
      <c r="J11" s="24" t="n">
        <v>0.75</v>
      </c>
      <c r="K11" s="24" t="n">
        <v>1</v>
      </c>
      <c r="L11" s="24" t="n">
        <v>1.3</v>
      </c>
      <c r="M11" s="24" t="n">
        <v>1.3</v>
      </c>
    </row>
    <row r="12" customFormat="false" ht="15" hidden="false" customHeight="false" outlineLevel="0" collapsed="false">
      <c r="A12" s="9" t="str">
        <f aca="false" t="array" ref="A12:A12">Tabelle5[hp_types_air_water]</f>
        <v>vitocal_250A</v>
      </c>
      <c r="B12" s="58" t="s">
        <v>612</v>
      </c>
      <c r="C12" s="58" t="n">
        <v>55</v>
      </c>
      <c r="D12" s="24" t="n">
        <v>0.63</v>
      </c>
      <c r="E12" s="24" t="n">
        <v>0.75</v>
      </c>
      <c r="F12" s="24" t="n">
        <v>0.87</v>
      </c>
      <c r="G12" s="24" t="n">
        <v>0.95</v>
      </c>
      <c r="H12" s="24" t="n">
        <v>0.58</v>
      </c>
      <c r="I12" s="24" t="n">
        <v>0.68</v>
      </c>
      <c r="J12" s="24" t="n">
        <v>0.75</v>
      </c>
      <c r="K12" s="24" t="n">
        <v>1.01</v>
      </c>
      <c r="L12" s="24" t="n">
        <v>1.31</v>
      </c>
      <c r="M12" s="24" t="n">
        <v>1.31</v>
      </c>
    </row>
    <row r="13" customFormat="false" ht="15" hidden="false" customHeight="false" outlineLevel="0" collapsed="false">
      <c r="A13" s="9" t="str">
        <f aca="false" t="array" ref="A13:A13">Tabelle5[hp_types_air_water]</f>
        <v>vitocal_250A</v>
      </c>
      <c r="B13" s="58" t="s">
        <v>612</v>
      </c>
      <c r="C13" s="58" t="n">
        <v>65</v>
      </c>
      <c r="D13" s="24" t="n">
        <v>0.41</v>
      </c>
      <c r="E13" s="24" t="n">
        <v>0.55</v>
      </c>
      <c r="F13" s="24" t="n">
        <v>0.72</v>
      </c>
      <c r="G13" s="24" t="n">
        <v>0.82</v>
      </c>
      <c r="H13" s="24" t="n">
        <v>0.57</v>
      </c>
      <c r="I13" s="24" t="n">
        <v>0.68</v>
      </c>
      <c r="J13" s="24" t="n">
        <v>0.75</v>
      </c>
      <c r="K13" s="24" t="n">
        <v>0.99</v>
      </c>
      <c r="L13" s="24" t="n">
        <v>1.26</v>
      </c>
      <c r="M13" s="24" t="n">
        <v>1.26</v>
      </c>
    </row>
    <row r="14" customFormat="false" ht="15" hidden="false" customHeight="false" outlineLevel="0" collapsed="false">
      <c r="A14" s="9" t="str">
        <f aca="false" t="array" ref="A14:A14">Tabelle5[hp_types_air_water]</f>
        <v>vitocal_250A</v>
      </c>
      <c r="B14" s="58" t="s">
        <v>612</v>
      </c>
      <c r="C14" s="58" t="n">
        <v>70</v>
      </c>
      <c r="D14" s="24" t="n">
        <v>0</v>
      </c>
      <c r="E14" s="24" t="n">
        <v>0</v>
      </c>
      <c r="F14" s="24" t="n">
        <v>0.54</v>
      </c>
      <c r="G14" s="24" t="n">
        <v>0.62</v>
      </c>
      <c r="H14" s="24" t="n">
        <v>0.57</v>
      </c>
      <c r="I14" s="24" t="n">
        <v>0.68</v>
      </c>
      <c r="J14" s="24" t="n">
        <v>0.75</v>
      </c>
      <c r="K14" s="24" t="n">
        <v>0.98</v>
      </c>
      <c r="L14" s="24" t="n">
        <v>1.25</v>
      </c>
      <c r="M14" s="24" t="n">
        <v>1.25</v>
      </c>
    </row>
    <row r="15" customFormat="false" ht="15" hidden="false" customHeight="false" outlineLevel="0" collapsed="false">
      <c r="A15" s="9" t="str">
        <f aca="false">Definitions!E2</f>
        <v>bosch_ClimateClass8000i</v>
      </c>
      <c r="B15" s="58" t="s">
        <v>611</v>
      </c>
      <c r="C15" s="58" t="n">
        <v>20</v>
      </c>
      <c r="D15" s="24" t="n">
        <v>0</v>
      </c>
      <c r="E15" s="24" t="n">
        <v>2.8</v>
      </c>
      <c r="F15" s="24" t="n">
        <v>3</v>
      </c>
      <c r="G15" s="24" t="n">
        <v>3.5</v>
      </c>
      <c r="H15" s="24" t="n">
        <v>5.1</v>
      </c>
      <c r="I15" s="24" t="n">
        <v>6.2</v>
      </c>
      <c r="J15" s="41" t="n">
        <f aca="false">I15+(K15-I15)*($J$2-$I$2)/($K$2-$I$2)</f>
        <v>6.61538461538462</v>
      </c>
      <c r="K15" s="24" t="n">
        <v>8</v>
      </c>
      <c r="L15" s="24" t="n">
        <v>0</v>
      </c>
      <c r="M15" s="24" t="n">
        <v>0</v>
      </c>
    </row>
    <row r="16" customFormat="false" ht="15" hidden="false" customHeight="false" outlineLevel="0" collapsed="false">
      <c r="A16" s="9" t="str">
        <f aca="false">Definitions!E2</f>
        <v>bosch_ClimateClass8000i</v>
      </c>
      <c r="B16" s="58" t="s">
        <v>612</v>
      </c>
      <c r="C16" s="58" t="n">
        <v>20</v>
      </c>
      <c r="D16" s="24" t="n">
        <v>0</v>
      </c>
      <c r="E16" s="24" t="n">
        <v>1</v>
      </c>
      <c r="F16" s="24" t="n">
        <v>1.12</v>
      </c>
      <c r="G16" s="24" t="n">
        <v>1</v>
      </c>
      <c r="H16" s="24" t="n">
        <v>0.6</v>
      </c>
      <c r="I16" s="24" t="n">
        <v>0.44</v>
      </c>
      <c r="J16" s="60" t="n">
        <f aca="false">I16+(K16-I16)*($J$2-$I$2)/($K$2-$I$2)</f>
        <v>0.449230769230769</v>
      </c>
      <c r="K16" s="24" t="n">
        <v>0.48</v>
      </c>
      <c r="L16" s="24" t="n">
        <v>0</v>
      </c>
      <c r="M16" s="24" t="n">
        <v>0</v>
      </c>
    </row>
  </sheetData>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G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K38" activeCellId="0" sqref="K38"/>
    </sheetView>
  </sheetViews>
  <sheetFormatPr defaultColWidth="10.59765625" defaultRowHeight="15" zeroHeight="false" outlineLevelRow="0" outlineLevelCol="0"/>
  <sheetData>
    <row r="1" customFormat="false" ht="15" hidden="false" customHeight="false" outlineLevel="0" collapsed="false">
      <c r="A1" s="7" t="s">
        <v>144</v>
      </c>
      <c r="B1" s="7" t="s">
        <v>613</v>
      </c>
      <c r="C1" s="7" t="s">
        <v>614</v>
      </c>
      <c r="D1" s="7" t="s">
        <v>615</v>
      </c>
      <c r="E1" s="7" t="s">
        <v>616</v>
      </c>
      <c r="F1" s="7" t="s">
        <v>617</v>
      </c>
      <c r="G1" s="7" t="s">
        <v>618</v>
      </c>
    </row>
    <row r="2" customFormat="false" ht="15" hidden="false" customHeight="false" outlineLevel="0" collapsed="false">
      <c r="A2" s="0" t="s">
        <v>147</v>
      </c>
      <c r="B2" s="0" t="s">
        <v>265</v>
      </c>
      <c r="C2" s="0" t="s">
        <v>619</v>
      </c>
      <c r="D2" s="0" t="s">
        <v>418</v>
      </c>
      <c r="E2" s="0" t="s">
        <v>435</v>
      </c>
      <c r="F2" s="0" t="s">
        <v>134</v>
      </c>
      <c r="G2" s="0" t="n">
        <v>30</v>
      </c>
    </row>
    <row r="3" customFormat="false" ht="15" hidden="false" customHeight="false" outlineLevel="0" collapsed="false">
      <c r="A3" s="0" t="s">
        <v>620</v>
      </c>
      <c r="B3" s="0" t="s">
        <v>311</v>
      </c>
      <c r="C3" s="0" t="s">
        <v>621</v>
      </c>
      <c r="F3" s="0" t="s">
        <v>142</v>
      </c>
      <c r="G3" s="0" t="n">
        <v>40</v>
      </c>
    </row>
    <row r="4" customFormat="false" ht="15" hidden="false" customHeight="false" outlineLevel="0" collapsed="false">
      <c r="B4" s="0" t="s">
        <v>622</v>
      </c>
      <c r="C4" s="0" t="s">
        <v>370</v>
      </c>
      <c r="F4" s="0" t="s">
        <v>127</v>
      </c>
      <c r="G4" s="0" t="n">
        <v>50</v>
      </c>
    </row>
    <row r="5" customFormat="false" ht="15" hidden="false" customHeight="false" outlineLevel="0" collapsed="false">
      <c r="B5" s="0" t="s">
        <v>623</v>
      </c>
      <c r="C5" s="0" t="s">
        <v>621</v>
      </c>
    </row>
    <row r="6" customFormat="false" ht="15" hidden="false" customHeight="false" outlineLevel="0" collapsed="false">
      <c r="B6" s="0" t="s">
        <v>624</v>
      </c>
      <c r="C6" s="0" t="s">
        <v>625</v>
      </c>
    </row>
    <row r="7" customFormat="false" ht="15" hidden="false" customHeight="false" outlineLevel="0" collapsed="false">
      <c r="B7" s="0" t="s">
        <v>626</v>
      </c>
    </row>
    <row r="8" customFormat="false" ht="15" hidden="false" customHeight="false" outlineLevel="0" collapsed="false">
      <c r="B8" s="0" t="s">
        <v>627</v>
      </c>
    </row>
    <row r="9" customFormat="false" ht="15" hidden="false" customHeight="false" outlineLevel="0" collapsed="false">
      <c r="B9" s="0" t="s">
        <v>628</v>
      </c>
    </row>
    <row r="14" customFormat="false" ht="15" hidden="false" customHeight="false" outlineLevel="0" collapsed="false">
      <c r="C14" s="61"/>
    </row>
    <row r="15" customFormat="false" ht="15" hidden="false" customHeight="false" outlineLevel="0" collapsed="false">
      <c r="C15" s="61"/>
    </row>
    <row r="16" customFormat="false" ht="15" hidden="false" customHeight="false" outlineLevel="0" collapsed="false">
      <c r="C16" s="61"/>
    </row>
    <row r="17" customFormat="false" ht="15" hidden="false" customHeight="false" outlineLevel="0" collapsed="false">
      <c r="C17" s="61"/>
    </row>
    <row r="18" customFormat="false" ht="15" hidden="false" customHeight="false" outlineLevel="0" collapsed="false">
      <c r="C18" s="61"/>
    </row>
    <row r="19" customFormat="false" ht="15" hidden="false" customHeight="false" outlineLevel="0" collapsed="false">
      <c r="C19" s="61"/>
    </row>
    <row r="20" customFormat="false" ht="15" hidden="false" customHeight="false" outlineLevel="0" collapsed="false">
      <c r="C20" s="61"/>
    </row>
    <row r="21" customFormat="false" ht="15" hidden="false" customHeight="false" outlineLevel="0" collapsed="false">
      <c r="C21" s="61"/>
    </row>
    <row r="22" customFormat="false" ht="15" hidden="false" customHeight="false" outlineLevel="0" collapsed="false">
      <c r="C22" s="61"/>
    </row>
  </sheetData>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 r:id="rId3"/>
    <tablePart r:id="rId4"/>
    <tablePart r:id="rId5"/>
  </tableParts>
</worksheet>
</file>

<file path=docProps/app.xml><?xml version="1.0" encoding="utf-8"?>
<Properties xmlns="http://schemas.openxmlformats.org/officeDocument/2006/extended-properties" xmlns:vt="http://schemas.openxmlformats.org/officeDocument/2006/docPropsVTypes">
  <Template/>
  <TotalTime>3</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2025-02-03T12:49:37Z</dcterms:created>
  <dc:creator>Erik Fröhlich</dc:creator>
  <dc:description/>
  <dc:language>en-US</dc:language>
  <cp:lastModifiedBy/>
  <dcterms:modified xsi:type="dcterms:W3CDTF">2026-03-25T20:03:12Z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